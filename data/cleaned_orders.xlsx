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Masai\Capstone Project\Part1\Outputs\"/>
    </mc:Choice>
  </mc:AlternateContent>
  <xr:revisionPtr revIDLastSave="0" documentId="13_ncr:1_{16A0B238-BD02-42DE-9304-207190ADBA40}" xr6:coauthVersionLast="47" xr6:coauthVersionMax="47" xr10:uidLastSave="{00000000-0000-0000-0000-000000000000}"/>
  <bookViews>
    <workbookView xWindow="-108" yWindow="-108" windowWidth="23256" windowHeight="12456" firstSheet="2" activeTab="5" xr2:uid="{00000000-000D-0000-FFFF-FFFF00000000}"/>
  </bookViews>
  <sheets>
    <sheet name="cleaned_orders" sheetId="10" r:id="rId1"/>
    <sheet name="Sales by Region" sheetId="4" r:id="rId2"/>
    <sheet name="Sales by Category" sheetId="5" r:id="rId3"/>
    <sheet name="Orders by Ship Mode" sheetId="6" r:id="rId4"/>
    <sheet name="Profit by Segment" sheetId="7" r:id="rId5"/>
    <sheet name="Cancelled-Returned-Failed" sheetId="8" r:id="rId6"/>
    <sheet name="Monthly Sales Trend" sheetId="9" r:id="rId7"/>
    <sheet name="business_rules" sheetId="2" r:id="rId8"/>
  </sheets>
  <calcPr calcId="191029"/>
  <pivotCaches>
    <pivotCache cacheId="45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7" l="1"/>
  <c r="D7" i="7"/>
  <c r="D6" i="7"/>
  <c r="D5" i="7"/>
  <c r="D4" i="7"/>
</calcChain>
</file>

<file path=xl/sharedStrings.xml><?xml version="1.0" encoding="utf-8"?>
<sst xmlns="http://schemas.openxmlformats.org/spreadsheetml/2006/main" count="19293" uniqueCount="2839">
  <si>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</si>
  <si>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</si>
  <si>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</si>
  <si>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</si>
  <si>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</si>
  <si>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</si>
  <si>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</si>
  <si>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</si>
  <si>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</si>
  <si>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</si>
  <si>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</si>
  <si>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</si>
  <si>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</si>
  <si>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</si>
  <si>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</si>
  <si>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</si>
  <si>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</si>
  <si>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</si>
  <si>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</si>
  <si>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</si>
  <si>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</si>
  <si>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</si>
  <si>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</si>
  <si>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</si>
  <si>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</si>
  <si>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</si>
  <si>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</si>
  <si>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</si>
  <si>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</si>
  <si>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</si>
  <si>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</si>
  <si>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</si>
  <si>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</si>
  <si>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</si>
  <si>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</si>
  <si>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</si>
  <si>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</si>
  <si>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</si>
  <si>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</si>
  <si>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</si>
  <si>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</si>
  <si>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</si>
  <si>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</si>
  <si>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</si>
  <si>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</si>
  <si>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</si>
  <si>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</si>
  <si>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</si>
  <si>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</si>
  <si>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</si>
  <si>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</si>
  <si>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</si>
  <si>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</si>
  <si>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</si>
  <si>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</si>
  <si>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</si>
  <si>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</si>
  <si>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</si>
  <si>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</si>
  <si>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</si>
  <si>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</si>
  <si>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</si>
  <si>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</si>
  <si>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</si>
  <si>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</si>
  <si>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</si>
  <si>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</si>
  <si>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</si>
  <si>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</si>
  <si>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</si>
  <si>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</si>
  <si>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</si>
  <si>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</si>
  <si>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</si>
  <si>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</si>
  <si>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</si>
  <si>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</si>
  <si>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</si>
  <si>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</si>
  <si>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</si>
  <si>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</si>
  <si>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</si>
  <si>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</si>
  <si>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</si>
  <si>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</si>
  <si>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</si>
  <si>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</si>
  <si>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</si>
  <si>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</si>
  <si>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</si>
  <si>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</si>
  <si>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</si>
  <si>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</si>
  <si>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</si>
  <si>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</si>
  <si>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</si>
  <si>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</si>
  <si>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</si>
  <si>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</si>
  <si>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</si>
  <si>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</si>
  <si>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</si>
  <si>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</si>
  <si>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</si>
  <si>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</si>
  <si>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</si>
  <si>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</si>
  <si>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</si>
  <si>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</si>
  <si>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</si>
  <si>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</si>
  <si>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</si>
  <si>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</si>
  <si>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</si>
  <si>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</si>
  <si>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</si>
  <si>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</si>
  <si>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</si>
  <si>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</si>
  <si>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</si>
  <si>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</si>
  <si>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</si>
  <si>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</si>
  <si>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</si>
  <si>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</si>
  <si>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</si>
  <si>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</si>
  <si>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</si>
  <si>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</si>
  <si>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</si>
  <si>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</si>
  <si>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</si>
  <si>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</si>
  <si>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</si>
  <si>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</si>
  <si>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</si>
  <si>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</si>
  <si>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</si>
  <si>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</si>
  <si>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</si>
  <si>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</si>
  <si>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</si>
  <si>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</si>
  <si>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</si>
  <si>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</si>
  <si>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</si>
  <si>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</si>
  <si>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</si>
  <si>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</si>
  <si>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</si>
  <si>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</si>
  <si>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</si>
  <si>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</si>
  <si>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</si>
  <si>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</si>
  <si>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</si>
  <si>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</si>
  <si>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</si>
  <si>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</si>
  <si>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</si>
  <si>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</si>
  <si>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</si>
  <si>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</si>
  <si>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</si>
  <si>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</si>
  <si>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</si>
  <si>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</si>
  <si>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</si>
  <si>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</si>
  <si>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</si>
  <si>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</si>
  <si>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</si>
  <si>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</si>
  <si>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</si>
  <si>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</si>
  <si>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</si>
  <si>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</si>
  <si>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</si>
  <si>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</si>
  <si>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</si>
  <si>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</si>
  <si>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</si>
  <si>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</si>
  <si>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</si>
  <si>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</si>
  <si>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</si>
  <si>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</si>
  <si>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</si>
  <si>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</si>
  <si>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</si>
  <si>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</si>
  <si>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</si>
  <si>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</si>
  <si>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</si>
  <si>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</si>
  <si>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</si>
  <si>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</si>
  <si>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</si>
  <si>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</si>
  <si>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</si>
  <si>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</si>
  <si>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</si>
  <si>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</si>
  <si>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</si>
  <si>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</si>
  <si>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</si>
  <si>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</si>
  <si>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</si>
  <si>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</si>
  <si>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</si>
  <si>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</si>
  <si>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</si>
  <si>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</si>
  <si>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</si>
  <si>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</si>
  <si>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</si>
  <si>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</si>
  <si>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</si>
  <si>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</si>
  <si>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</si>
  <si>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</si>
  <si>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</si>
  <si>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</si>
  <si>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</si>
  <si>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</si>
  <si>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</si>
  <si>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</si>
  <si>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</si>
  <si>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</si>
  <si>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</si>
  <si>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</si>
  <si>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</si>
  <si>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</si>
  <si>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</si>
  <si>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</si>
  <si>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</si>
  <si>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</si>
  <si>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</si>
  <si>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</si>
  <si>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</si>
  <si>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</si>
  <si>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</si>
  <si>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</si>
  <si>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</si>
  <si>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</si>
  <si>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</si>
  <si>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</si>
  <si>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</si>
  <si>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</si>
  <si>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</si>
  <si>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</si>
  <si>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</si>
  <si>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</si>
  <si>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</si>
  <si>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</si>
  <si>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</si>
  <si>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</si>
  <si>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</si>
  <si>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</si>
  <si>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</si>
  <si>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</si>
  <si>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</si>
  <si>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</si>
  <si>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</si>
  <si>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</si>
  <si>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</si>
  <si>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</si>
  <si>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</si>
  <si>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</si>
  <si>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</si>
  <si>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</si>
  <si>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</si>
  <si>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</si>
  <si>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</si>
  <si>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</si>
  <si>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</si>
  <si>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</si>
  <si>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</si>
  <si>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</si>
  <si>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</si>
  <si>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</si>
  <si>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</si>
  <si>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</si>
  <si>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</si>
  <si>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</si>
  <si>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</si>
  <si>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</si>
  <si>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</si>
  <si>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</si>
  <si>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</si>
  <si>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</si>
  <si>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</si>
  <si>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</si>
  <si>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</si>
  <si>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</si>
  <si>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</si>
  <si>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</si>
  <si>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</si>
  <si>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</si>
  <si>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</si>
  <si>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</si>
  <si>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</si>
  <si>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</si>
  <si>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</si>
  <si>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</si>
  <si>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</si>
  <si>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</si>
  <si>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</si>
  <si>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</si>
  <si>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</si>
  <si>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</si>
  <si>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</si>
  <si>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</si>
  <si>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</si>
  <si>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</si>
  <si>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</si>
  <si>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</si>
  <si>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</si>
  <si>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</si>
  <si>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</si>
  <si>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</si>
  <si>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</si>
  <si>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</si>
  <si>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</si>
  <si>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</si>
  <si>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</si>
  <si>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</si>
  <si>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</si>
  <si>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</si>
  <si>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</si>
  <si>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</si>
  <si>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</si>
  <si>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</si>
  <si>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</si>
  <si>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</si>
  <si>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</si>
  <si>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</si>
  <si>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</si>
  <si>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</si>
  <si>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</si>
  <si>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</si>
  <si>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</si>
  <si>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</si>
  <si>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</si>
  <si>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</si>
  <si>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</si>
  <si>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</si>
  <si>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</si>
  <si>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</si>
  <si>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</si>
  <si>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</si>
  <si>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</si>
  <si>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</si>
  <si>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</si>
  <si>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</si>
  <si>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</si>
  <si>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</si>
  <si>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</si>
  <si>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</si>
  <si>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</si>
  <si>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</si>
  <si>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</si>
  <si>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</si>
  <si>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</si>
  <si>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</si>
  <si>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</si>
  <si>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</si>
  <si>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</si>
  <si>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</si>
  <si>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</si>
  <si>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</si>
  <si>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</si>
  <si>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</si>
  <si>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</si>
  <si>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</si>
  <si>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</si>
  <si>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</si>
  <si>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</si>
  <si>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</si>
  <si>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</si>
  <si>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</si>
  <si>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</si>
  <si>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</si>
  <si>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</si>
  <si>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</si>
  <si>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</si>
  <si>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</si>
  <si>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</si>
  <si>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</si>
  <si>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</si>
  <si>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</si>
  <si>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</si>
  <si>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</si>
  <si>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</si>
  <si>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</si>
  <si>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</si>
  <si>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</si>
  <si>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</si>
  <si>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</si>
  <si>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</si>
  <si>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</si>
  <si>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</si>
  <si>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</si>
  <si>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</si>
  <si>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</si>
  <si>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</si>
  <si>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</si>
  <si>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</si>
  <si>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</si>
  <si>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</si>
  <si>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</si>
  <si>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</si>
  <si>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</si>
  <si>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</si>
  <si>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</si>
  <si>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</si>
  <si>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</si>
  <si>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</si>
  <si>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</si>
  <si>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</si>
  <si>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</si>
  <si>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</si>
  <si>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</si>
  <si>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</si>
  <si>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</si>
  <si>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</si>
  <si>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</si>
  <si>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</si>
  <si>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</si>
  <si>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</si>
  <si>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</si>
  <si>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</si>
  <si>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</si>
  <si>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</si>
  <si>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</si>
  <si>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</si>
  <si>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</si>
  <si>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</si>
  <si>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</si>
  <si>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</si>
  <si>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</si>
  <si>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</si>
  <si>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</si>
  <si>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</si>
  <si>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</si>
  <si>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</si>
  <si>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</si>
  <si>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</si>
  <si>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</si>
  <si>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</si>
  <si>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</si>
  <si>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</si>
  <si>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</si>
  <si>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</si>
  <si>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</si>
  <si>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</si>
  <si>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</si>
  <si>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</si>
  <si>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</si>
  <si>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</si>
  <si>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</si>
  <si>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</si>
  <si>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</si>
  <si>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</si>
  <si>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</si>
  <si>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</si>
  <si>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</si>
  <si>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</si>
  <si>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</si>
  <si>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</si>
  <si>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</si>
  <si>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</si>
  <si>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</si>
  <si>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</si>
  <si>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</si>
  <si>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</si>
  <si>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</si>
  <si>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</si>
  <si>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</si>
  <si>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</si>
  <si>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</si>
  <si>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</si>
  <si>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</si>
  <si>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</si>
  <si>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</si>
  <si>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</si>
  <si>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</si>
  <si>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</si>
  <si>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</si>
  <si>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</si>
  <si>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</si>
  <si>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</si>
  <si>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</si>
  <si>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</si>
  <si>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</si>
  <si>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</si>
  <si>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</si>
  <si>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</si>
  <si>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</si>
  <si>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</si>
  <si>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</si>
  <si>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</si>
  <si>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</si>
  <si>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</si>
  <si>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</si>
  <si>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</si>
  <si>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</si>
  <si>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</si>
  <si>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</si>
  <si>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</si>
  <si>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</si>
  <si>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</si>
  <si>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</si>
  <si>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</si>
  <si>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</si>
  <si>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</si>
  <si>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</si>
  <si>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</si>
  <si>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</si>
  <si>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</si>
  <si>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</si>
  <si>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</si>
  <si>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</si>
  <si>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</si>
  <si>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</si>
  <si>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</si>
  <si>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</si>
  <si>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</si>
  <si>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</si>
  <si>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</si>
  <si>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</si>
  <si>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</si>
  <si>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</si>
  <si>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</si>
  <si>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</si>
  <si>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</si>
  <si>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</si>
  <si>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</si>
  <si>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</si>
  <si>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</si>
  <si>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</si>
  <si>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</si>
  <si>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</si>
  <si>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</si>
  <si>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</si>
  <si>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</si>
  <si>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</si>
  <si>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</si>
  <si>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</si>
  <si>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</si>
  <si>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</si>
  <si>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</si>
  <si>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</si>
  <si>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</si>
  <si>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</si>
  <si>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</si>
  <si>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</si>
  <si>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</si>
  <si>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</si>
  <si>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</si>
  <si>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</si>
  <si>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</si>
  <si>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</si>
  <si>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</si>
  <si>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</si>
  <si>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</si>
  <si>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</si>
  <si>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</si>
  <si>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</si>
  <si>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</si>
  <si>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</si>
  <si>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</si>
  <si>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</si>
  <si>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</si>
  <si>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</si>
  <si>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</si>
  <si>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</si>
  <si>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</si>
  <si>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</si>
  <si>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</si>
  <si>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</si>
  <si>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</si>
  <si>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</si>
  <si>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</si>
  <si>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</si>
  <si>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</si>
  <si>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</si>
  <si>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</si>
  <si>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</si>
  <si>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</si>
  <si>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</si>
  <si>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</si>
  <si>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</si>
  <si>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</si>
  <si>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</si>
  <si>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</si>
  <si>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</si>
  <si>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</si>
  <si>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</si>
  <si>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</si>
  <si>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</si>
  <si>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</si>
  <si>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</si>
  <si>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</si>
  <si>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</si>
  <si>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</si>
  <si>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</si>
  <si>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</si>
  <si>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</si>
  <si>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</si>
  <si>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</si>
  <si>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</si>
  <si>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</si>
  <si>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</si>
  <si>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</si>
  <si>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</si>
  <si>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</si>
  <si>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</si>
  <si>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</si>
  <si>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</si>
  <si>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</si>
  <si>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</si>
  <si>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</si>
  <si>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</si>
  <si>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</si>
  <si>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</si>
  <si>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</si>
  <si>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</si>
  <si>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</si>
  <si>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</si>
  <si>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</si>
  <si>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</si>
  <si>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</si>
  <si>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</si>
  <si>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</si>
  <si>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</si>
  <si>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</si>
  <si>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</si>
  <si>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</si>
  <si>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</si>
  <si>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</si>
  <si>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</si>
  <si>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</si>
  <si>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</si>
  <si>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</si>
  <si>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</si>
  <si>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</si>
  <si>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</si>
  <si>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</si>
  <si>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</si>
  <si>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</si>
  <si>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</si>
  <si>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</si>
  <si>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</si>
  <si>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</si>
  <si>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</si>
  <si>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</si>
  <si>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</si>
  <si>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</si>
  <si>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</si>
  <si>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</si>
  <si>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</si>
  <si>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</si>
  <si>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</si>
  <si>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</si>
  <si>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</si>
  <si>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</si>
  <si>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</si>
  <si>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</si>
  <si>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</si>
  <si>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</si>
  <si>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</si>
  <si>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</si>
  <si>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</si>
  <si>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</si>
  <si>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</si>
  <si>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</si>
  <si>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</si>
  <si>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</si>
  <si>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</si>
  <si>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</si>
  <si>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</si>
  <si>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</si>
  <si>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</si>
  <si>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</si>
  <si>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</si>
  <si>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</si>
  <si>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</si>
  <si>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</si>
  <si>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</si>
  <si>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</si>
  <si>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</si>
  <si>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</si>
  <si>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</si>
  <si>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</si>
  <si>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</si>
  <si>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</si>
  <si>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</si>
  <si>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</si>
  <si>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</si>
  <si>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</si>
  <si>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</si>
  <si>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</si>
  <si>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</si>
  <si>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</si>
  <si>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</si>
  <si>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</si>
  <si>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</si>
  <si>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</si>
  <si>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</si>
  <si>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</si>
  <si>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</si>
  <si>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</si>
  <si>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</si>
  <si>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</si>
  <si>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</si>
  <si>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</si>
  <si>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</si>
  <si>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</si>
  <si>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</si>
  <si>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</si>
  <si>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</si>
  <si>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</si>
  <si>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</si>
  <si>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</si>
  <si>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</si>
  <si>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</si>
  <si>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</si>
  <si>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</si>
  <si>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</si>
  <si>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</si>
  <si>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</si>
  <si>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</si>
  <si>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</si>
  <si>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</si>
  <si>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</si>
  <si>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</si>
  <si>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</si>
  <si>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</si>
  <si>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</si>
  <si>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</si>
  <si>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</si>
  <si>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</si>
  <si>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</si>
  <si>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</si>
  <si>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</si>
  <si>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</si>
  <si>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</si>
  <si>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</si>
  <si>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</si>
  <si>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</si>
  <si>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</si>
  <si>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</si>
  <si>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</si>
  <si>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</si>
  <si>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</si>
  <si>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</si>
  <si>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</si>
  <si>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</si>
  <si>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</si>
  <si>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</si>
  <si>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</si>
  <si>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</si>
  <si>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</si>
  <si>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</si>
  <si>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</si>
  <si>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</si>
  <si>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</si>
  <si>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</si>
  <si>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</si>
  <si>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</si>
  <si>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</si>
  <si>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</si>
  <si>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</si>
  <si>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</si>
  <si>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</si>
  <si>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</si>
  <si>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</si>
  <si>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</si>
  <si>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</si>
  <si>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</si>
  <si>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</si>
  <si>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</si>
  <si>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</si>
  <si>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</si>
  <si>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</si>
  <si>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</si>
  <si>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</si>
  <si>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</si>
  <si>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</si>
  <si>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</si>
  <si>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</si>
  <si>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</si>
  <si>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</si>
  <si>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</si>
  <si>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</si>
  <si>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</si>
  <si>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</si>
  <si>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</si>
  <si>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</si>
  <si>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</si>
  <si>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</si>
  <si>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</si>
  <si>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</si>
  <si>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</si>
  <si>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</si>
  <si>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</si>
  <si>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</si>
  <si>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</si>
  <si>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</si>
  <si>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</si>
  <si>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</si>
  <si>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</si>
  <si>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</si>
  <si>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</si>
  <si>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</si>
  <si>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</si>
  <si>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</si>
  <si>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</si>
  <si>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</si>
  <si>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</si>
  <si>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</si>
  <si>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</si>
  <si>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</si>
  <si>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</si>
  <si>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</si>
  <si>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</si>
  <si>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</si>
  <si>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</si>
  <si>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</si>
  <si>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</si>
  <si>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</si>
  <si>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</si>
  <si>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</si>
  <si>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</si>
  <si>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</si>
  <si>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</si>
  <si>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</si>
  <si>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</si>
  <si>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</si>
  <si>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</si>
  <si>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</si>
  <si>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</si>
  <si>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</si>
  <si>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</si>
  <si>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</si>
  <si>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</si>
  <si>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</si>
  <si>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</si>
  <si>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</si>
  <si>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</si>
  <si>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</si>
  <si>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</si>
  <si>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</si>
  <si>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</si>
  <si>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</si>
  <si>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</si>
  <si>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</si>
  <si>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</si>
  <si>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</si>
  <si>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</si>
  <si>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</si>
  <si>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</si>
  <si>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</si>
  <si>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</si>
  <si>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</si>
  <si>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</si>
  <si>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</si>
  <si>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</si>
  <si>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</si>
  <si>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</si>
  <si>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</si>
  <si>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</si>
  <si>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</si>
  <si>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</si>
  <si>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</si>
  <si>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</si>
  <si>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</si>
  <si>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</si>
  <si>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</si>
  <si>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</si>
  <si>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</si>
  <si>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</si>
  <si>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</si>
  <si>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</si>
  <si>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</si>
  <si>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</si>
  <si>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</si>
  <si>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</si>
  <si>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</si>
  <si>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</si>
  <si>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</si>
  <si>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</si>
  <si>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</si>
  <si>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</si>
  <si>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</si>
  <si>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</si>
  <si>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</si>
  <si>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</si>
  <si>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</si>
  <si>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</si>
  <si>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</si>
  <si>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</si>
  <si>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</si>
  <si>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</si>
  <si>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</si>
  <si>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</si>
  <si>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</si>
  <si>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</si>
  <si>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</si>
  <si>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</si>
  <si>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</si>
  <si>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</si>
  <si>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</si>
  <si>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</si>
  <si>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</si>
  <si>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</si>
  <si>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</si>
  <si>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</si>
  <si>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</si>
  <si>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</si>
  <si>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</si>
  <si>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</si>
  <si>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</si>
  <si>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</si>
  <si>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</si>
  <si>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</si>
  <si>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</si>
  <si>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</si>
  <si>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</si>
  <si>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</si>
  <si>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</si>
  <si>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</si>
  <si>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</si>
  <si>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</si>
  <si>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</si>
  <si>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</si>
  <si>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</si>
  <si>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</si>
  <si>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</si>
  <si>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</si>
  <si>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</si>
  <si>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</si>
  <si>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</si>
  <si>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</si>
  <si>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</si>
  <si>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</si>
  <si>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</si>
  <si>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</si>
  <si>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</si>
  <si>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</si>
  <si>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</si>
  <si>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</si>
  <si>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</si>
  <si>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</si>
  <si>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</si>
  <si>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</si>
  <si>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</si>
  <si>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</si>
  <si>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</si>
  <si>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</si>
  <si>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</si>
  <si>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</si>
  <si>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</si>
  <si>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</si>
  <si>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</si>
  <si>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</si>
  <si>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</si>
  <si>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</si>
  <si>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</si>
  <si>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</si>
  <si>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</si>
  <si>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</si>
  <si>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</si>
  <si>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</si>
  <si>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</si>
  <si>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</si>
  <si>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</si>
  <si>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</si>
  <si>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</si>
  <si>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</si>
  <si>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</si>
  <si>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</si>
  <si>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</si>
  <si>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</si>
  <si>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</si>
  <si>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</si>
  <si>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</si>
  <si>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</si>
  <si>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</si>
  <si>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</si>
  <si>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</si>
  <si>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</si>
  <si>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</si>
  <si>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</si>
  <si>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</si>
  <si>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</si>
  <si>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</si>
  <si>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</si>
  <si>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</si>
  <si>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</si>
  <si>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</si>
  <si>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</si>
  <si>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</si>
  <si>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</si>
  <si>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</si>
  <si>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</si>
  <si>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</si>
  <si>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</si>
  <si>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</si>
  <si>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</si>
  <si>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</si>
  <si>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</si>
  <si>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</si>
  <si>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</si>
  <si>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</si>
  <si>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</si>
  <si>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</si>
  <si>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</si>
  <si>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</si>
  <si>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</si>
  <si>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</si>
  <si>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</si>
  <si>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</si>
  <si>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</si>
  <si>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</si>
  <si>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</si>
  <si>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</si>
  <si>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</si>
  <si>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</si>
  <si>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</si>
  <si>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</si>
  <si>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</si>
  <si>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</si>
  <si>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</si>
  <si>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</si>
  <si>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</si>
  <si>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</si>
  <si>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</si>
  <si>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</si>
  <si>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</si>
  <si>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</si>
  <si>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</si>
  <si>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</si>
  <si>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</si>
  <si>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</si>
  <si>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</si>
  <si>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</si>
  <si>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</si>
  <si>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</si>
  <si>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</si>
  <si>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</si>
  <si>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</si>
  <si>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</si>
  <si>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</si>
  <si>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</si>
  <si>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</si>
  <si>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</si>
  <si>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</si>
  <si>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</si>
  <si>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</si>
  <si>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</si>
  <si>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</si>
  <si>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</si>
  <si>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</si>
  <si>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</si>
  <si>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</si>
  <si>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</si>
  <si>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</si>
  <si>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</si>
  <si>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</si>
  <si>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</si>
  <si>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</si>
  <si>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</si>
  <si>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</si>
  <si>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</si>
  <si>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</si>
  <si>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</si>
  <si>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</si>
  <si>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</si>
  <si>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</si>
  <si>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</si>
  <si>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</si>
  <si>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</si>
  <si>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</si>
  <si>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</si>
  <si>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</si>
  <si>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</si>
  <si>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</si>
  <si>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</si>
  <si>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</si>
  <si>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</si>
  <si>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</si>
  <si>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</si>
  <si>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</si>
  <si>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</si>
  <si>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</si>
  <si>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</si>
  <si>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</si>
  <si>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</si>
  <si>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</si>
  <si>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</si>
  <si>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</si>
  <si>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</si>
  <si>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</si>
  <si>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</si>
  <si>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</si>
  <si>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</si>
  <si>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</si>
  <si>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</si>
  <si>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</si>
  <si>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</si>
  <si>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</si>
  <si>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</si>
  <si>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</si>
  <si>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</si>
  <si>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</si>
  <si>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</si>
  <si>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</si>
  <si>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</si>
  <si>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</si>
  <si>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</si>
  <si>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</si>
  <si>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</si>
  <si>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</si>
  <si>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</si>
  <si>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</si>
  <si>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</si>
  <si>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</si>
  <si>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</si>
  <si>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</si>
  <si>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</si>
  <si>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</si>
  <si>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</si>
  <si>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</si>
  <si>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</si>
  <si>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</si>
  <si>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</si>
  <si>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</si>
  <si>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</si>
  <si>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</si>
  <si>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</si>
  <si>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</si>
  <si>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</si>
  <si>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</si>
  <si>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</si>
  <si>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</si>
  <si>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</si>
  <si>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</si>
  <si>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</si>
  <si>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</si>
  <si>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</si>
  <si>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</si>
  <si>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</si>
  <si>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</si>
  <si>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</si>
  <si>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</si>
  <si>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</si>
  <si>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</si>
  <si>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</si>
  <si>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</si>
  <si>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</si>
  <si>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</si>
  <si>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</si>
  <si>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</si>
  <si>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</si>
  <si>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</si>
  <si>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</si>
  <si>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</si>
  <si>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</si>
  <si>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</si>
  <si>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</si>
  <si>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</si>
  <si>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</si>
  <si>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</si>
  <si>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</si>
  <si>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</si>
  <si>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</si>
  <si>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</si>
  <si>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</si>
  <si>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</si>
  <si>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</si>
  <si>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</si>
  <si>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</si>
  <si>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</si>
  <si>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</si>
  <si>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</si>
  <si>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</si>
  <si>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</si>
  <si>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</si>
  <si>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</si>
  <si>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</si>
  <si>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</si>
  <si>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</si>
  <si>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</si>
  <si>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</si>
  <si>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</si>
  <si>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</si>
  <si>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</si>
  <si>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</si>
  <si>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</si>
  <si>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</si>
  <si>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</si>
  <si>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</si>
  <si>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</si>
  <si>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</si>
  <si>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</si>
  <si>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</si>
  <si>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</si>
  <si>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</si>
  <si>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</si>
  <si>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</si>
  <si>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</si>
  <si>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</si>
  <si>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</si>
  <si>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</si>
  <si>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</si>
  <si>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</si>
  <si>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</si>
  <si>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</si>
  <si>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</si>
  <si>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</si>
  <si>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</si>
  <si>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</si>
  <si>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</si>
  <si>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</si>
  <si>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</si>
  <si>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</si>
  <si>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</si>
  <si>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</si>
  <si>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</si>
  <si>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</si>
  <si>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</si>
  <si>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</si>
  <si>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</si>
  <si>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</si>
  <si>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</si>
  <si>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</si>
  <si>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</si>
  <si>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</si>
  <si>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</si>
  <si>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</si>
  <si>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</si>
  <si>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</si>
  <si>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</si>
  <si>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</si>
  <si>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</si>
  <si>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</si>
  <si>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</si>
  <si>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</si>
  <si>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</si>
  <si>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</si>
  <si>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</si>
  <si>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</si>
  <si>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</si>
  <si>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</si>
  <si>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</si>
  <si>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</si>
  <si>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</si>
  <si>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</si>
  <si>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</si>
  <si>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</si>
  <si>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</si>
  <si>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</si>
  <si>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</si>
  <si>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</si>
  <si>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</si>
  <si>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</si>
  <si>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</si>
  <si>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</si>
  <si>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</si>
  <si>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</si>
  <si>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</si>
  <si>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</si>
  <si>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</si>
  <si>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</si>
  <si>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</si>
  <si>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</si>
  <si>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</si>
  <si>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</si>
  <si>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</si>
  <si>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</si>
  <si>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</si>
  <si>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</si>
  <si>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</si>
  <si>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</si>
  <si>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</si>
  <si>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</si>
  <si>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</si>
  <si>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</si>
  <si>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</si>
  <si>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</si>
  <si>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</si>
  <si>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</si>
  <si>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</si>
  <si>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</si>
  <si>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</si>
  <si>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</si>
  <si>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</si>
  <si>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</si>
  <si>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</si>
  <si>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</si>
  <si>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</si>
  <si>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</si>
  <si>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</si>
  <si>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</si>
  <si>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</si>
  <si>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</si>
  <si>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</si>
  <si>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</si>
  <si>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</si>
  <si>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</si>
  <si>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</si>
  <si>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</si>
  <si>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</si>
  <si>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</si>
  <si>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</si>
  <si>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</si>
  <si>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</si>
  <si>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</si>
  <si>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</si>
  <si>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</si>
  <si>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</si>
  <si>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</si>
  <si>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</si>
  <si>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</si>
  <si>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</si>
  <si>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</si>
  <si>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</si>
  <si>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</si>
  <si>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</si>
  <si>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</si>
  <si>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</si>
  <si>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</si>
  <si>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</si>
  <si>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</si>
  <si>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</si>
  <si>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</si>
  <si>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</si>
  <si>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</si>
  <si>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</si>
  <si>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</si>
  <si>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</si>
  <si>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</si>
  <si>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</si>
  <si>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</si>
  <si>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</si>
  <si>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</si>
  <si>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</si>
  <si>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</si>
  <si>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</si>
  <si>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</si>
  <si>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</si>
  <si>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</si>
  <si>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</si>
  <si>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</si>
  <si>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</si>
  <si>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</si>
  <si>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</si>
  <si>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</si>
  <si>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</si>
  <si>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</si>
  <si>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</si>
  <si>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</si>
  <si>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</si>
  <si>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</si>
  <si>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</si>
  <si>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</si>
  <si>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</si>
  <si>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</si>
  <si>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</si>
  <si>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</si>
  <si>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</si>
  <si>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</si>
  <si>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</si>
  <si>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</si>
  <si>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</si>
  <si>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</si>
  <si>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</si>
  <si>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</si>
  <si>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</si>
  <si>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</si>
  <si>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</si>
  <si>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</si>
  <si>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</si>
  <si>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</si>
  <si>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</si>
  <si>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</si>
  <si>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</si>
  <si>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</si>
  <si>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</si>
  <si>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</si>
  <si>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</si>
  <si>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</si>
  <si>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</si>
  <si>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</si>
  <si>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</si>
  <si>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</si>
  <si>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</si>
  <si>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</si>
  <si>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</si>
  <si>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</si>
  <si>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</si>
  <si>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</si>
  <si>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</si>
  <si>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</si>
  <si>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</si>
  <si>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</si>
  <si>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</si>
  <si>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</si>
  <si>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</si>
  <si>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</si>
  <si>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</si>
  <si>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</si>
  <si>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</si>
  <si>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</si>
  <si>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</si>
  <si>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</si>
  <si>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</si>
  <si>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</si>
  <si>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</si>
  <si>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</si>
  <si>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</si>
  <si>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</si>
  <si>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</si>
  <si>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</si>
  <si>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</si>
  <si>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</si>
  <si>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</si>
  <si>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</si>
  <si>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</si>
  <si>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</si>
  <si>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</si>
  <si>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</si>
  <si>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</si>
  <si>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</si>
  <si>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</si>
  <si>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</si>
  <si>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</si>
  <si>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</si>
  <si>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</si>
  <si>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</si>
  <si>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</si>
  <si>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</si>
  <si>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</si>
  <si>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</si>
  <si>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</si>
  <si>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</si>
  <si>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</si>
  <si>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</si>
  <si>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</si>
  <si>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</si>
  <si>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</si>
  <si>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</si>
  <si>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</si>
  <si>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</si>
  <si>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</si>
  <si>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</si>
  <si>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</si>
  <si>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</si>
  <si>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</si>
  <si>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</si>
  <si>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</si>
  <si>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</si>
  <si>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</si>
  <si>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</si>
  <si>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</si>
  <si>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</si>
  <si>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</si>
  <si>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</si>
  <si>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</si>
  <si>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</si>
  <si>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</si>
  <si>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</si>
  <si>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</si>
  <si>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</si>
  <si>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</si>
  <si>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</si>
  <si>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</si>
  <si>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</si>
  <si>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</si>
  <si>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</si>
  <si>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</si>
  <si>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</si>
  <si>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</si>
  <si>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</si>
  <si>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</si>
  <si>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</si>
  <si>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</si>
  <si>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</si>
  <si>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</si>
  <si>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</si>
  <si>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</si>
  <si>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</si>
  <si>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</si>
  <si>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</si>
  <si>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</si>
  <si>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</si>
  <si>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</si>
  <si>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</si>
  <si>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</si>
  <si>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</si>
  <si>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</si>
  <si>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</si>
  <si>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</si>
  <si>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</si>
  <si>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</si>
  <si>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</si>
  <si>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</si>
  <si>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</si>
  <si>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</si>
  <si>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</si>
  <si>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</si>
  <si>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</si>
  <si>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</si>
  <si>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</si>
  <si>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</si>
  <si>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</si>
  <si>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</si>
  <si>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</si>
  <si>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</si>
  <si>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</si>
  <si>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</si>
  <si>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</si>
  <si>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</si>
  <si>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</si>
  <si>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</si>
  <si>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</si>
  <si>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</si>
  <si>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</si>
  <si>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</si>
  <si>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</si>
  <si>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</si>
  <si>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</si>
  <si>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</si>
  <si>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</si>
  <si>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</si>
  <si>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</si>
  <si>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</si>
  <si>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</si>
  <si>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</si>
  <si>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</si>
  <si>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</si>
  <si>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</si>
  <si>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</si>
  <si>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</si>
  <si>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</si>
  <si>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</si>
  <si>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</si>
  <si>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</si>
  <si>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</si>
  <si>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</si>
  <si>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</si>
  <si>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</si>
  <si>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</si>
  <si>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</si>
  <si>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</si>
  <si>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</si>
  <si>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</si>
  <si>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</si>
  <si>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</si>
  <si>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</si>
  <si>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</si>
  <si>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</si>
  <si>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</si>
  <si>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</si>
  <si>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</si>
  <si>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</si>
  <si>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</si>
  <si>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</si>
  <si>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</si>
  <si>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</si>
  <si>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</si>
  <si>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</si>
  <si>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</si>
  <si>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</si>
  <si>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</si>
  <si>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</si>
  <si>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</si>
  <si>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</si>
  <si>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</si>
  <si>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</si>
  <si>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</si>
  <si>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</si>
  <si>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</si>
  <si>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</si>
  <si>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</si>
  <si>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</si>
  <si>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</si>
  <si>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</si>
  <si>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</si>
  <si>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</si>
  <si>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</si>
  <si>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</si>
  <si>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</si>
  <si>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</si>
  <si>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</si>
  <si>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</si>
  <si>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</si>
  <si>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</si>
  <si>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</si>
  <si>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</si>
  <si>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</si>
  <si>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</si>
  <si>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</si>
  <si>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</si>
  <si>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</si>
  <si>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</si>
  <si>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</si>
  <si>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</si>
  <si>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</si>
  <si>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</si>
  <si>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</si>
  <si>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</si>
  <si>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</si>
  <si>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</si>
  <si>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</si>
  <si>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</si>
  <si>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</si>
  <si>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</si>
  <si>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</si>
  <si>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</si>
  <si>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</si>
  <si>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</si>
  <si>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</si>
  <si>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</si>
  <si>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</si>
  <si>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</si>
  <si>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</si>
  <si>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</si>
  <si>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</si>
  <si>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</si>
  <si>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</si>
  <si>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</si>
  <si>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</si>
  <si>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</si>
  <si>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</si>
  <si>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</si>
  <si>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</si>
  <si>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</si>
  <si>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</si>
  <si>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</si>
  <si>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</si>
  <si>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</si>
  <si>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</si>
  <si>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</si>
  <si>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</si>
  <si>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</si>
  <si>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</si>
  <si>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</si>
  <si>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</si>
  <si>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</si>
  <si>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</si>
  <si>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</si>
  <si>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</si>
  <si>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</si>
  <si>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</si>
  <si>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</si>
  <si>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</si>
  <si>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</si>
  <si>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</si>
  <si>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</si>
  <si>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</si>
  <si>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</si>
  <si>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</si>
  <si>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</si>
  <si>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</si>
  <si>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</si>
  <si>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</si>
  <si>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</si>
  <si>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</si>
  <si>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</si>
  <si>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</si>
  <si>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</si>
  <si>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</si>
  <si>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</si>
  <si>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</si>
  <si>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</si>
  <si>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</si>
  <si>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</si>
  <si>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</si>
  <si>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</si>
  <si>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</si>
  <si>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</si>
  <si>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</si>
  <si>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</si>
  <si>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</si>
  <si>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</si>
  <si>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</si>
  <si>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</si>
  <si>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</si>
  <si>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</si>
  <si>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</si>
  <si>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</si>
  <si>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</si>
  <si>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</si>
  <si>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</si>
  <si>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</si>
  <si>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</si>
  <si>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</si>
  <si>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</si>
  <si>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</si>
  <si>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</si>
  <si>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</si>
  <si>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</si>
  <si>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</si>
  <si>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</si>
  <si>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</si>
  <si>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</si>
  <si>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</si>
  <si>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</si>
  <si>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</si>
  <si>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</si>
  <si>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</si>
  <si>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</si>
  <si>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</si>
  <si>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</si>
  <si>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</si>
  <si>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</si>
  <si>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</si>
  <si>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</si>
  <si>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</si>
  <si>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</si>
  <si>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</si>
  <si>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</si>
  <si>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</si>
  <si>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</si>
  <si>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</si>
  <si>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</si>
  <si>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</si>
  <si>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</si>
  <si>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</si>
  <si>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</si>
  <si>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</si>
  <si>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</si>
  <si>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</si>
  <si>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</si>
  <si>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</si>
  <si>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</si>
  <si>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</si>
  <si>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</si>
  <si>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</si>
  <si>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</si>
  <si>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</si>
  <si>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</si>
  <si>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</si>
  <si>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</si>
  <si>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</si>
  <si>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</si>
  <si>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</si>
  <si>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</si>
  <si>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</si>
  <si>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</si>
  <si>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</si>
  <si>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</si>
  <si>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</si>
  <si>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</si>
  <si>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</si>
  <si>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</si>
  <si>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</si>
  <si>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</si>
  <si>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</si>
  <si>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</si>
  <si>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</si>
  <si>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</si>
  <si>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</si>
  <si>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</si>
  <si>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</si>
  <si>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</si>
  <si>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</si>
  <si>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</si>
  <si>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</si>
  <si>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</si>
  <si>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</si>
  <si>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</si>
  <si>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</si>
  <si>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</si>
  <si>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</si>
  <si>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</si>
  <si>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</si>
  <si>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</si>
  <si>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</si>
  <si>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</si>
  <si>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</si>
  <si>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</si>
  <si>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</si>
  <si>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</si>
  <si>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</si>
  <si>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</si>
  <si>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</si>
  <si>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</si>
  <si>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</si>
  <si>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</si>
  <si>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</si>
  <si>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</si>
  <si>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</si>
  <si>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</si>
  <si>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</si>
  <si>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</si>
  <si>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</si>
  <si>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</si>
  <si>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</si>
  <si>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</si>
  <si>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</si>
  <si>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</si>
  <si>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</si>
  <si>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</si>
  <si>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</si>
  <si>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</si>
  <si>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</si>
  <si>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</si>
  <si>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</si>
  <si>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</si>
  <si>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</si>
  <si>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</si>
  <si>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</si>
  <si>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</si>
  <si>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</si>
  <si>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</si>
  <si>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</si>
  <si>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</si>
  <si>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</si>
  <si>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</si>
  <si>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</si>
  <si>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</si>
  <si>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</si>
  <si>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</si>
  <si>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</si>
  <si>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</si>
  <si>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</si>
  <si>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</si>
  <si>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</si>
  <si>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</si>
  <si>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</si>
  <si>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</si>
  <si>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</si>
  <si>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</si>
  <si>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</si>
  <si>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</si>
  <si>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</si>
  <si>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</si>
  <si>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</si>
  <si>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</si>
  <si>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</si>
  <si>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</si>
  <si>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</si>
  <si>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</si>
  <si>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</si>
  <si>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</si>
  <si>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</si>
  <si>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</si>
  <si>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</si>
  <si>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</si>
  <si>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</si>
  <si>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</si>
  <si>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</si>
  <si>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</si>
  <si>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</si>
  <si>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</si>
  <si>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</si>
  <si>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</si>
  <si>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</si>
  <si>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</si>
  <si>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</si>
  <si>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</si>
  <si>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</si>
  <si>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</si>
  <si>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</si>
  <si>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</si>
  <si>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</si>
  <si>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</si>
  <si>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</si>
  <si>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</si>
  <si>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</si>
  <si>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</si>
  <si>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</si>
  <si>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</si>
  <si>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</si>
  <si>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</si>
  <si>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</si>
  <si>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</si>
  <si>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</si>
  <si>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</si>
  <si>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</si>
  <si>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</si>
  <si>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</si>
  <si>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</si>
  <si>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</si>
  <si>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</si>
  <si>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</si>
  <si>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</si>
  <si>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</si>
  <si>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</si>
  <si>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</si>
  <si>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</si>
  <si>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</si>
  <si>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</si>
  <si>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</si>
  <si>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</si>
  <si>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</si>
  <si>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</si>
  <si>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</si>
  <si>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</si>
  <si>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</si>
  <si>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</si>
  <si>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</si>
  <si>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</si>
  <si>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</si>
  <si>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</si>
  <si>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</si>
  <si>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</si>
  <si>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</si>
  <si>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</si>
  <si>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</si>
  <si>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</si>
  <si>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</si>
  <si>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</si>
  <si>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</si>
  <si>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</si>
  <si>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</si>
  <si>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</si>
  <si>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</si>
  <si>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</si>
  <si>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</si>
  <si>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</si>
  <si>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</si>
  <si>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</si>
  <si>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</si>
  <si>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</si>
  <si>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</si>
  <si>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</si>
  <si>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</si>
  <si>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</si>
  <si>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</si>
  <si>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</si>
  <si>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</si>
  <si>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</si>
  <si>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</si>
  <si>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</si>
  <si>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</si>
  <si>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</si>
  <si>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</si>
  <si>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</si>
  <si>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</si>
  <si>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</si>
  <si>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</si>
  <si>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</si>
  <si>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</si>
  <si>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</si>
  <si>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</si>
  <si>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</si>
  <si>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</si>
  <si>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</si>
  <si>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</si>
  <si>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</si>
  <si>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</si>
  <si>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</si>
  <si>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</si>
  <si>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</si>
  <si>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</si>
  <si>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</si>
  <si>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</si>
  <si>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</si>
  <si>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</si>
  <si>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</si>
  <si>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</si>
  <si>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</si>
  <si>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</si>
  <si>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</si>
  <si>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</si>
  <si>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</si>
  <si>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</si>
  <si>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</si>
  <si>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</si>
  <si>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</si>
  <si>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</si>
  <si>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</si>
  <si>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</si>
  <si>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</si>
  <si>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</si>
  <si>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</si>
  <si>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</si>
  <si>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</si>
  <si>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</si>
  <si>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</si>
  <si>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</si>
  <si>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</si>
  <si>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</si>
  <si>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</si>
  <si>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</si>
  <si>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</si>
  <si>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</si>
  <si>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</si>
  <si>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</si>
  <si>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</si>
  <si>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</si>
  <si>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</si>
  <si>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</si>
  <si>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</si>
  <si>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</si>
  <si>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</si>
  <si>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</si>
  <si>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</si>
  <si>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</si>
  <si>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</si>
  <si>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</si>
  <si>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</si>
  <si>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</si>
  <si>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</si>
  <si>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</si>
  <si>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</si>
  <si>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</si>
  <si>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</si>
  <si>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</si>
  <si>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</si>
  <si>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</si>
  <si>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</si>
  <si>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</si>
  <si>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</si>
  <si>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</si>
  <si>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</si>
  <si>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</si>
  <si>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</si>
  <si>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</si>
  <si>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</si>
  <si>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</si>
  <si>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</si>
  <si>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</si>
  <si>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</si>
  <si>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</si>
  <si>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</si>
  <si>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</si>
  <si>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</si>
  <si>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</si>
  <si>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</si>
  <si>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</si>
  <si>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</si>
  <si>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</si>
  <si>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</si>
  <si>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</si>
  <si>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</si>
  <si>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</si>
  <si>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</si>
  <si>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</si>
  <si>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</si>
  <si>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</si>
  <si>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</si>
  <si>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</si>
  <si>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</si>
  <si>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</si>
  <si>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</si>
  <si>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</si>
  <si>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</si>
  <si>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</si>
  <si>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</si>
  <si>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</si>
  <si>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</si>
  <si>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</si>
  <si>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</si>
  <si>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</si>
  <si>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</si>
  <si>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</si>
  <si>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</si>
  <si>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</si>
  <si>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</si>
  <si>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</si>
  <si>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</si>
  <si>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</si>
  <si>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</si>
  <si>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</si>
  <si>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</si>
  <si>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</si>
  <si>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</si>
  <si>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</si>
  <si>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</si>
  <si>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</si>
  <si>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</si>
  <si>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</si>
  <si>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</si>
  <si>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</si>
  <si>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</si>
  <si>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</si>
  <si>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</si>
  <si>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</si>
  <si>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</si>
  <si>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</si>
  <si>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</si>
  <si>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</si>
  <si>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</si>
  <si>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</si>
  <si>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</si>
  <si>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</si>
  <si>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</si>
  <si>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</si>
  <si>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</si>
  <si>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</si>
  <si>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</si>
  <si>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</si>
  <si>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</si>
  <si>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</si>
  <si>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</si>
  <si>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</si>
  <si>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</si>
  <si>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</si>
  <si>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</si>
  <si>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</si>
  <si>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</si>
  <si>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</si>
  <si>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</si>
  <si>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</si>
  <si>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</si>
  <si>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</si>
  <si>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</si>
  <si>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</si>
  <si>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</si>
  <si>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</si>
  <si>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</si>
  <si>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</si>
  <si>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</si>
  <si>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</si>
  <si>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</si>
  <si>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</si>
  <si>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</si>
  <si>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</si>
  <si>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</si>
  <si>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</si>
  <si>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</si>
  <si>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</si>
  <si>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</si>
  <si>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</si>
  <si>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</si>
  <si>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</si>
  <si>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</si>
  <si>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</si>
  <si>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</si>
  <si>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</si>
  <si>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</si>
  <si>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</si>
  <si>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</si>
  <si>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</si>
  <si>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</si>
  <si>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</si>
  <si>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</si>
  <si>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</si>
  <si>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</si>
  <si>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</si>
  <si>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</si>
  <si>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</si>
  <si>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</si>
  <si>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</si>
  <si>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</si>
  <si>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</si>
  <si>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</si>
  <si>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</si>
  <si>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</si>
  <si>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</si>
  <si>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</si>
  <si>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</si>
  <si>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</si>
  <si>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</si>
  <si>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</si>
  <si>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</si>
  <si>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</si>
  <si>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</si>
  <si>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</si>
  <si>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</si>
  <si>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</si>
  <si>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</si>
  <si>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</si>
  <si>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</si>
  <si>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</si>
  <si>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</si>
  <si>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</si>
  <si>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</si>
  <si>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</si>
  <si>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</si>
  <si>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</si>
  <si>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</si>
  <si>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</si>
  <si>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</si>
  <si>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</si>
  <si>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</si>
  <si>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</si>
  <si>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</si>
  <si>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</si>
  <si>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</si>
  <si>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</si>
  <si>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</si>
  <si>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</si>
  <si>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</si>
  <si>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</si>
  <si>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</si>
  <si>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</si>
  <si>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</si>
  <si>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</si>
  <si>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</si>
  <si>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</si>
  <si>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</si>
  <si>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</si>
  <si>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</si>
  <si>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</si>
  <si>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</si>
  <si>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</si>
  <si>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</si>
  <si>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</si>
  <si>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</si>
  <si>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</si>
  <si>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</si>
  <si>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</si>
  <si>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</si>
  <si>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</si>
  <si>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</si>
  <si>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</si>
  <si>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</si>
  <si>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</si>
  <si>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</si>
  <si>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</si>
  <si>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</si>
  <si>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</si>
  <si>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</si>
  <si>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</si>
  <si>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</si>
  <si>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</si>
  <si>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</si>
  <si>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</si>
  <si>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</si>
  <si>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</si>
  <si>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</si>
  <si>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</si>
  <si>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</si>
  <si>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</si>
  <si>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</si>
  <si>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</si>
  <si>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</si>
  <si>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</si>
  <si>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</si>
  <si>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</si>
  <si>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</si>
  <si>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</si>
  <si>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</si>
  <si>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</si>
  <si>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</si>
  <si>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</si>
  <si>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</si>
  <si>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</si>
  <si>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</si>
  <si>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</si>
  <si>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</si>
  <si>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</si>
  <si>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</si>
  <si>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</si>
  <si>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</si>
  <si>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</si>
  <si>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</si>
  <si>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</si>
  <si>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</si>
  <si>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</si>
  <si>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</si>
  <si>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</si>
  <si>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</si>
  <si>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</si>
  <si>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</si>
  <si>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</si>
  <si>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</si>
  <si>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</si>
  <si>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</si>
  <si>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</si>
  <si>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</si>
  <si>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</si>
  <si>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</si>
  <si>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</si>
  <si>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</si>
  <si>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</si>
  <si>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</si>
  <si>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</si>
  <si>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</si>
  <si>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</si>
  <si>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</si>
  <si>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</si>
  <si>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</si>
  <si>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</si>
  <si>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</si>
  <si>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</si>
  <si>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</si>
  <si>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</si>
  <si>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</si>
  <si>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</si>
  <si>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</si>
  <si>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</si>
  <si>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</si>
  <si>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</si>
  <si>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</si>
  <si>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</si>
  <si>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</si>
  <si>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</si>
  <si>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</si>
  <si>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</si>
  <si>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</si>
  <si>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</si>
  <si>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</si>
  <si>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</si>
  <si>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</si>
  <si>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</si>
  <si>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</si>
  <si>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</si>
  <si>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</si>
  <si>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</si>
  <si>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</si>
  <si>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</si>
  <si>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</si>
  <si>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</si>
  <si>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</si>
  <si>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</si>
  <si>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</si>
  <si>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</si>
  <si>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</si>
  <si>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</si>
  <si>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</si>
  <si>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</si>
  <si>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</si>
  <si>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</si>
  <si>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</si>
  <si>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</si>
  <si>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</si>
  <si>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</si>
  <si>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</si>
  <si>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</si>
  <si>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</si>
  <si>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</si>
  <si>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</si>
  <si>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</si>
  <si>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</si>
  <si>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</si>
  <si>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</si>
  <si>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</si>
  <si>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</si>
  <si>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</si>
  <si>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</si>
  <si>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</si>
  <si>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</si>
  <si>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</si>
  <si>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</si>
  <si>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</si>
  <si>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</si>
  <si>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</si>
  <si>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</si>
  <si>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</si>
  <si>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</si>
  <si>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</si>
  <si>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</si>
  <si>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</si>
  <si>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</si>
  <si>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</si>
  <si>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</si>
  <si>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</si>
  <si>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</si>
  <si>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</si>
  <si>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</si>
  <si>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</si>
  <si>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</si>
  <si>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</si>
  <si>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</si>
  <si>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</si>
  <si>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</si>
  <si>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</si>
  <si>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</si>
  <si>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</si>
  <si>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</si>
  <si>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</si>
  <si>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</si>
  <si>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</si>
  <si>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</si>
  <si>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</si>
  <si>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</si>
  <si>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</si>
  <si>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</si>
  <si>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</si>
  <si>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</si>
  <si>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</si>
  <si>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</si>
  <si>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</si>
  <si>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</si>
  <si>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</si>
  <si>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</si>
  <si>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</si>
  <si>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</si>
  <si>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</si>
  <si>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</si>
  <si>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</si>
  <si>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</si>
  <si>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</si>
  <si>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</si>
  <si>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</si>
  <si>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</si>
  <si>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</si>
  <si>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</si>
  <si>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</si>
  <si>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</si>
  <si>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</si>
  <si>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</si>
  <si>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</si>
  <si>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</si>
  <si>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</si>
  <si>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</si>
  <si>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</si>
  <si>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</si>
  <si>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</si>
  <si>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</si>
  <si>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</si>
  <si>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</si>
  <si>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</si>
  <si>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</si>
  <si>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</si>
  <si>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</si>
  <si>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</si>
  <si>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</si>
  <si>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</si>
  <si>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</si>
  <si>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</si>
  <si>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</si>
  <si>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</si>
  <si>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</si>
  <si>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</si>
  <si>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</si>
  <si>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</si>
  <si>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</si>
  <si>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</si>
  <si>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</si>
  <si>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</si>
  <si>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</si>
  <si>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</si>
  <si>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</si>
  <si>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</si>
  <si>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</si>
  <si>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</si>
  <si>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</si>
  <si>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</si>
  <si>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</si>
  <si>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</si>
  <si>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</si>
  <si>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</si>
  <si>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</si>
  <si>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</si>
  <si>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</si>
  <si>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</si>
  <si>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</si>
  <si>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</si>
  <si>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</si>
  <si>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</si>
  <si>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</si>
  <si>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</si>
  <si>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</si>
  <si>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</si>
  <si>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</si>
  <si>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</si>
  <si>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</si>
  <si>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</si>
  <si>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</si>
  <si>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</si>
  <si>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</si>
  <si>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</si>
  <si>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</si>
  <si>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</si>
  <si>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</si>
  <si>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</si>
  <si>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</si>
  <si>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</si>
  <si>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</si>
  <si>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</si>
  <si>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</si>
  <si>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</si>
  <si>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</si>
  <si>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</si>
  <si>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</si>
  <si>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</si>
  <si>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</si>
  <si>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</si>
  <si>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</si>
  <si>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</si>
  <si>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</si>
  <si>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</si>
  <si>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</si>
  <si>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</si>
  <si>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</si>
  <si>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</si>
  <si>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</si>
  <si>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</si>
  <si>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</si>
  <si>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</si>
  <si>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</si>
  <si>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</si>
  <si>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</si>
  <si>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</si>
  <si>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</si>
  <si>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</si>
  <si>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</si>
  <si>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</si>
  <si>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</si>
  <si>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</si>
  <si>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</si>
  <si>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</si>
  <si>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</si>
  <si>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</si>
  <si>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</si>
  <si>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</si>
  <si>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</si>
  <si>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</si>
  <si>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</si>
  <si>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</si>
  <si>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</si>
  <si>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</si>
  <si>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</si>
  <si>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</si>
  <si>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</si>
  <si>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</si>
  <si>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</si>
  <si>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</si>
  <si>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</si>
  <si>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</si>
  <si>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</si>
  <si>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</si>
  <si>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</si>
  <si>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</si>
  <si>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</si>
  <si>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</si>
  <si>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</si>
  <si>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</si>
  <si>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</si>
  <si>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</si>
  <si>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</si>
  <si>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</si>
  <si>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</si>
  <si>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</si>
  <si>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</si>
  <si>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</si>
  <si>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</si>
  <si>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</si>
  <si>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</si>
  <si>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</si>
  <si>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</si>
  <si>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</si>
  <si>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</si>
  <si>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</si>
  <si>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</si>
  <si>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</si>
  <si>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</si>
  <si>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</si>
  <si>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</si>
  <si>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</si>
  <si>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</si>
  <si>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</si>
  <si>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</si>
  <si>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</si>
  <si>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</si>
  <si>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</si>
  <si>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</si>
  <si>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</si>
  <si>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</si>
  <si>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</si>
  <si>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</si>
  <si>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</si>
  <si>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</si>
  <si>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</si>
  <si>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</si>
  <si>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</si>
  <si>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</si>
  <si>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</si>
  <si>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</si>
  <si>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</si>
  <si>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</si>
  <si>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</si>
  <si>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</si>
  <si>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</si>
  <si>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</si>
  <si>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</si>
  <si>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</si>
  <si>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</si>
  <si>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</si>
  <si>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</si>
  <si>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</si>
  <si>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</si>
  <si>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</si>
  <si>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</si>
  <si>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</si>
  <si>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</si>
  <si>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</si>
  <si>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</si>
  <si>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</si>
  <si>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</si>
  <si>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</si>
  <si>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</si>
  <si>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</si>
  <si>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</si>
  <si>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</si>
  <si>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</si>
  <si>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</si>
  <si>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</si>
  <si>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</si>
  <si>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</si>
  <si>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</si>
  <si>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</si>
  <si>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</si>
  <si>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</si>
  <si>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</si>
  <si>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</si>
  <si>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</si>
  <si>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</si>
  <si>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</si>
  <si>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</si>
  <si>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</si>
  <si>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</si>
  <si>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</si>
  <si>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</si>
  <si>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</si>
  <si>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</si>
  <si>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</si>
  <si>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</si>
  <si>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</si>
  <si>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</si>
  <si>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</si>
  <si>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</si>
  <si>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</si>
  <si>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</si>
  <si>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</si>
  <si>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</si>
  <si>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</si>
  <si>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</si>
  <si>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</si>
  <si>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</si>
  <si>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</si>
  <si>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</si>
  <si>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</si>
  <si>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</si>
  <si>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</si>
  <si>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</si>
  <si>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</si>
  <si>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</si>
  <si>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</si>
  <si>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</si>
  <si>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</si>
  <si>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</si>
  <si>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</si>
  <si>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</si>
  <si>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</si>
  <si>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</si>
  <si>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</si>
  <si>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</si>
  <si>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</si>
  <si>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</si>
  <si>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</si>
  <si>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</si>
  <si>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</si>
  <si>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</si>
  <si>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</si>
  <si>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</si>
  <si>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</si>
  <si>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</si>
  <si>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</si>
  <si>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</si>
  <si>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</si>
  <si>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</si>
  <si>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</si>
  <si>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</si>
  <si>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</si>
  <si>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</si>
  <si>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</si>
  <si>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</si>
  <si>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</si>
  <si>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</si>
  <si>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</si>
  <si>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</si>
  <si>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</si>
  <si>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</si>
  <si>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</si>
  <si>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</si>
  <si>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</si>
  <si>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</si>
  <si>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</si>
  <si>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</si>
  <si>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</si>
  <si>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</si>
  <si>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</si>
  <si>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</si>
  <si>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</si>
  <si>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</si>
  <si>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</si>
  <si>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</si>
  <si>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</si>
  <si>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</si>
  <si>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</si>
  <si>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</si>
  <si>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</si>
  <si>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</si>
  <si>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</si>
  <si>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</si>
  <si>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</si>
  <si>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</si>
  <si>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</si>
  <si>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</si>
  <si>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</si>
  <si>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</si>
  <si>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</si>
  <si>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</si>
  <si>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</si>
  <si>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</si>
  <si>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</si>
  <si>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</si>
  <si>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</si>
  <si>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</si>
  <si>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</si>
  <si>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</si>
  <si>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</si>
  <si>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</si>
  <si>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</si>
  <si>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</si>
  <si>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</si>
  <si>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</si>
  <si>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</si>
  <si>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</si>
  <si>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</si>
  <si>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</si>
  <si>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</si>
  <si>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</si>
  <si>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</si>
  <si>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</si>
  <si>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</si>
  <si>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</si>
  <si>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</si>
  <si>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</si>
  <si>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</si>
  <si>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</si>
  <si>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</si>
  <si>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</si>
  <si>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</si>
  <si>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</si>
  <si>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</si>
  <si>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</si>
  <si>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</si>
  <si>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</si>
  <si>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</si>
  <si>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</si>
  <si>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</si>
  <si>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</si>
  <si>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</si>
  <si>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</si>
  <si>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</si>
  <si>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</si>
  <si>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</si>
  <si>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</si>
  <si>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</si>
  <si>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</si>
  <si>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</si>
  <si>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</si>
  <si>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</si>
  <si>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</si>
  <si>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</si>
  <si>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</si>
  <si>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</si>
  <si>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</si>
  <si>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</si>
  <si>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</si>
  <si>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</si>
  <si>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</si>
  <si>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</si>
  <si>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</si>
  <si>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</si>
  <si>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</si>
  <si>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</si>
  <si>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</si>
  <si>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</si>
  <si>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</si>
  <si>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</si>
  <si>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</si>
  <si>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</si>
  <si>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</si>
  <si>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</si>
  <si>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</si>
  <si>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</si>
  <si>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</si>
  <si>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</si>
  <si>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</si>
  <si>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</si>
  <si>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</si>
  <si>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order_date_flag</t>
  </si>
  <si>
    <t>ship_date_flag</t>
  </si>
  <si>
    <t>date_validity_flag</t>
  </si>
  <si>
    <t>shipping_date_flag</t>
  </si>
  <si>
    <t>shipping_delay_days</t>
  </si>
  <si>
    <t>duplicate_flag</t>
  </si>
  <si>
    <t>Unique</t>
  </si>
  <si>
    <t>Conflicting Duplicate - Manual Review Required</t>
  </si>
  <si>
    <t>Unknown</t>
  </si>
  <si>
    <t>cleaned_discount</t>
  </si>
  <si>
    <t>discount_flag</t>
  </si>
  <si>
    <t>Valid</t>
  </si>
  <si>
    <t>Invalid: Negative Discount</t>
  </si>
  <si>
    <t>Missing - Treated as 0</t>
  </si>
  <si>
    <t>Invalid: Above Allowed Range (Text Format)</t>
  </si>
  <si>
    <t>Invalid: Above Allowed Range</t>
  </si>
  <si>
    <t>calculated_sales</t>
  </si>
  <si>
    <t>calculated_profit</t>
  </si>
  <si>
    <t>profit_margin</t>
  </si>
  <si>
    <t>order_month</t>
  </si>
  <si>
    <t>order_year</t>
  </si>
  <si>
    <t>data_quality_flag</t>
  </si>
  <si>
    <t>Grand Total</t>
  </si>
  <si>
    <t>Total Sales</t>
  </si>
  <si>
    <t>Total Profit</t>
  </si>
  <si>
    <t>Region</t>
  </si>
  <si>
    <t xml:space="preserve"> Profit Margin %</t>
  </si>
  <si>
    <t>Category</t>
  </si>
  <si>
    <t>Total sales</t>
  </si>
  <si>
    <t>Total profit</t>
  </si>
  <si>
    <t>Count of order_id</t>
  </si>
  <si>
    <t>Order Count</t>
  </si>
  <si>
    <t>Ship Mode</t>
  </si>
  <si>
    <t>Segment</t>
  </si>
  <si>
    <t>Profit Margin %</t>
  </si>
  <si>
    <t>Order Status</t>
  </si>
  <si>
    <t>Failed Payments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</si>
  <si>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</si>
  <si>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</si>
  <si>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</si>
  <si>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</si>
  <si>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</si>
  <si>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</si>
  <si>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</si>
  <si>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</si>
  <si>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</si>
  <si>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</si>
  <si>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</si>
  <si>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</si>
  <si>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Order Year</t>
  </si>
  <si>
    <t>Order Month</t>
  </si>
  <si>
    <t>OK</t>
  </si>
  <si>
    <t>Clean</t>
  </si>
  <si>
    <t>Invalid</t>
  </si>
  <si>
    <t>Invalid: Ship Before Order</t>
  </si>
  <si>
    <t>Warning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</si>
</sst>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1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14" formatCode="0.00%"/>
    </dxf>
    <dxf>
      <numFmt numFmtId="14" formatCode="0.00%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dha Manasa" refreshedDate="46201.510125115739" createdVersion="8" refreshedVersion="8" minRefreshableVersion="3" recordCount="912" xr:uid="{3950794C-EA65-4C40-B29C-55199B438C8C}">
  <cacheSource type="worksheet">
    <worksheetSource ref="A1:AI913" sheet="raw_orders"/>
  </cacheSource>
  <cacheFields count="36">
    <cacheField name="order_id" numFmtId="0">
      <sharedItems/>
    </cacheField>
    <cacheField name="order_date" numFmtId="164">
      <sharedItems containsSemiMixedTypes="0" containsNonDate="0" containsDate="1" containsString="0" minDate="2024-01-01T00:00:00" maxDate="2025-10-13T00:00:00"/>
    </cacheField>
    <cacheField name="ship_date" numFmtId="164">
      <sharedItems containsSemiMixedTypes="0" containsNonDate="0" containsDate="1" containsString="0" minDate="2024-01-05T00:00:00" maxDate="2025-10-17T00:00:00"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Blank="1" containsMixedTypes="1" containsNumber="1" minValue="-0.24" maxValue="0.6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/>
    </cacheField>
    <cacheField name="order_status" numFmtId="0">
      <sharedItems count="3">
        <s v="Completed"/>
        <s v="Cancelled"/>
        <s v="Returned"/>
      </sharedItems>
    </cacheField>
    <cacheField name="order_date_flag" numFmtId="0">
      <sharedItems/>
    </cacheField>
    <cacheField name="ship_date_flag" numFmtId="0">
      <sharedItems/>
    </cacheField>
    <cacheField name="date_validity_flag" numFmtId="0">
      <sharedItems/>
    </cacheField>
    <cacheField name="shipping_date_flag" numFmtId="0">
      <sharedItems/>
    </cacheField>
    <cacheField name="shipping_delay_days" numFmtId="0">
      <sharedItems containsSemiMixedTypes="0" containsString="0" containsNumber="1" containsInteger="1" minValue="-4" maxValue="8"/>
    </cacheField>
    <cacheField name="duplicate_flag" numFmtId="0">
      <sharedItems/>
    </cacheField>
    <cacheField name="cleaned_discount" numFmtId="0">
      <sharedItems containsSemiMixedTypes="0" containsString="0" containsNumber="1" minValue="-0.24" maxValue="0.85"/>
    </cacheField>
    <cacheField name="discount_flag" numFmtId="0">
      <sharedItems/>
    </cacheField>
    <cacheField name="calculated_sales" numFmtId="0">
      <sharedItems containsSemiMixedTypes="0" containsString="0" containsNumber="1" minValue="36.447000000000003" maxValue="36782.271000000008"/>
    </cacheField>
    <cacheField name="calculated_profit" numFmtId="0">
      <sharedItems containsSemiMixedTypes="0" containsString="0" containsNumber="1" minValue="-23452.5635" maxValue="15225.999000000003" count="900">
        <n v="3207.3899999999994"/>
        <n v="2407.7700000000004"/>
        <n v="-547.91600000000017"/>
        <n v="1521.1649999999991"/>
        <n v="3110.9500000000007"/>
        <n v="993.88400000000001"/>
        <n v="1120.3079999999991"/>
        <n v="623.49000000000024"/>
        <n v="7726.369999999999"/>
        <n v="2334.498"/>
        <n v="4025.9954999999991"/>
        <n v="1589.9700000000012"/>
        <n v="216.56899999999996"/>
        <n v="4059.1479999999938"/>
        <n v="1440.4449999999997"/>
        <n v="8096.090000000002"/>
        <n v="4302.3600000000006"/>
        <n v="2926.99"/>
        <n v="1362.7800000000002"/>
        <n v="6350.6357999999991"/>
        <n v="6842.4550000000017"/>
        <n v="1394.9248000000002"/>
        <n v="1606.4819999999991"/>
        <n v="1943.7720000000008"/>
        <n v="2541.4699999999993"/>
        <n v="2367.4299999999994"/>
        <n v="1050.5180000000003"/>
        <n v="2064.0524999999998"/>
        <n v="791"/>
        <n v="97.838499999999996"/>
        <n v="1077.7029999999997"/>
        <n v="10063.200000000001"/>
        <n v="4473.83"/>
        <n v="514.42250000000013"/>
        <n v="2315.2939999999999"/>
        <n v="3740.2819999999974"/>
        <n v="2708.5599999999995"/>
        <n v="927.03799999999956"/>
        <n v="3422.4139999999989"/>
        <n v="1560.5420000000008"/>
        <n v="2061.5419999999995"/>
        <n v="2606.5899999999992"/>
        <n v="2950.7919999999995"/>
        <n v="1309.6100000000001"/>
        <n v="9594.9370000000017"/>
        <n v="12363.952000000001"/>
        <n v="5430.8024999999998"/>
        <n v="5167.2720000000008"/>
        <n v="7507.0299999999988"/>
        <n v="1017.0804999999991"/>
        <n v="884.73"/>
        <n v="1728.7099999999991"/>
        <n v="1993.380000000001"/>
        <n v="2293.0675000000006"/>
        <n v="1422.2339999999999"/>
        <n v="608.40999999999985"/>
        <n v="2909"/>
        <n v="187.80999999999995"/>
        <n v="4676.7280000000001"/>
        <n v="3545.1900000000023"/>
        <n v="180.35400000000004"/>
        <n v="198.34000000000003"/>
        <n v="8333.9380000000019"/>
        <n v="1787.9589999999998"/>
        <n v="767.24999999999955"/>
        <n v="1437.2604999999994"/>
        <n v="2421.7689999999993"/>
        <n v="5294.5410000000011"/>
        <n v="8937.4199999999983"/>
        <n v="3240.0869999999995"/>
        <n v="469.779"/>
        <n v="4500.1680000000006"/>
        <n v="3571.3964999999989"/>
        <n v="2746.55"/>
        <n v="638.76000000000022"/>
        <n v="2516.3880000000008"/>
        <n v="2601.8399999999992"/>
        <n v="971.69999999999982"/>
        <n v="2271.567500000001"/>
        <n v="8684.052000000007"/>
        <n v="1761.0219999999999"/>
        <n v="2432.3100000000004"/>
        <n v="2247.5300000000002"/>
        <n v="273.90800000000013"/>
        <n v="651.904"/>
        <n v="264.64999999999998"/>
        <n v="894.31600000000026"/>
        <n v="7925.6499999999978"/>
        <n v="895.14499999999953"/>
        <n v="9004.9740000000038"/>
        <n v="3858.8180000000002"/>
        <n v="888.77"/>
        <n v="6917.4060000000027"/>
        <n v="8824.0610999999972"/>
        <n v="5103.1100000000042"/>
        <n v="1683.7300000000014"/>
        <n v="1324.4179999999997"/>
        <n v="5599.4700000000012"/>
        <n v="3913.5559999999987"/>
        <n v="1794.9799999999996"/>
        <n v="3979.1699999999983"/>
        <n v="4432.8100000000013"/>
        <n v="2483.0599999999995"/>
        <n v="1151.3380000000006"/>
        <n v="2302.0750000000007"/>
        <n v="226.10000000000002"/>
        <n v="2298.6899999999996"/>
        <n v="3337.6665000000012"/>
        <n v="307.80999999999995"/>
        <n v="774.24500000000012"/>
        <n v="1893.2099999999996"/>
        <n v="545.55799999999999"/>
        <n v="4365.2780000000002"/>
        <n v="810.69749999999999"/>
        <n v="762.82999999999993"/>
        <n v="268.0379999999999"/>
        <n v="529.54250000000002"/>
        <n v="-11393.874999999998"/>
        <n v="1913.8600000000006"/>
        <n v="366.61000000000013"/>
        <n v="565.7360000000001"/>
        <n v="5653.6899999999987"/>
        <n v="143.86999999999995"/>
        <n v="180.77999999999997"/>
        <n v="1369.6309999999994"/>
        <n v="4967.2350000000006"/>
        <n v="1734.8520000000003"/>
        <n v="2256.31"/>
        <n v="1019.5074999999997"/>
        <n v="3090.4285"/>
        <n v="211.95999999999992"/>
        <n v="647.66200000000003"/>
        <n v="409.86000000000013"/>
        <n v="6055.07"/>
        <n v="524.10500000000002"/>
        <n v="1473.3300000000002"/>
        <n v="9757.2860000000037"/>
        <n v="3676.2840000000015"/>
        <n v="9947.5200000000023"/>
        <n v="3736.9800000000005"/>
        <n v="2139.8900000000012"/>
        <n v="1136.5169999999998"/>
        <n v="1087.7849999999994"/>
        <n v="1152.3900000000001"/>
        <n v="4368.1874999999982"/>
        <n v="5246.91"/>
        <n v="4004.9029999999984"/>
        <n v="1035.8700000000001"/>
        <n v="2571.9499999999998"/>
        <n v="4292.8524999999991"/>
        <n v="341.78799999999978"/>
        <n v="2362.29"/>
        <n v="1494.866"/>
        <n v="7245.6699999999983"/>
        <n v="685.47199999999998"/>
        <n v="1839.1640000000007"/>
        <n v="5385.3225000000011"/>
        <n v="869.24199999999973"/>
        <n v="1608.1829999999995"/>
        <n v="8142.9749999999985"/>
        <n v="751.95600000000059"/>
        <n v="736.0100000000001"/>
        <n v="9358.3100000000013"/>
        <n v="3201.5120000000006"/>
        <n v="817.82500000000005"/>
        <n v="3798.0499999999993"/>
        <n v="596.74"/>
        <n v="5280.0744999999988"/>
        <n v="531.38999999999987"/>
        <n v="2036.3499999999995"/>
        <n v="1203.96"/>
        <n v="4631.7125000000015"/>
        <n v="7862.5919999999987"/>
        <n v="348.11750000000006"/>
        <n v="3495.9529999999995"/>
        <n v="4892.3890000000029"/>
        <n v="10318.371999999999"/>
        <n v="10172.879999999997"/>
        <n v="2394.5199999999986"/>
        <n v="4042.1400000000012"/>
        <n v="2279.4170000000004"/>
        <n v="4219.4899999999989"/>
        <n v="1722.7299999999996"/>
        <n v="4579.3260000000009"/>
        <n v="756.80000000000007"/>
        <n v="267.79200000000014"/>
        <n v="3828.7794999999969"/>
        <n v="2501.2599999999993"/>
        <n v="1484.1360000000004"/>
        <n v="12991.769999999997"/>
        <n v="514.92299999999989"/>
        <n v="-10350.040000000001"/>
        <n v="1544.0700000000006"/>
        <n v="3378.6040000000003"/>
        <n v="1905.1144999999997"/>
        <n v="2037.3099999999995"/>
        <n v="755.04100000000017"/>
        <n v="3333.6199999999953"/>
        <n v="448.38099999999986"/>
        <n v="4397.47"/>
        <n v="3710.9000000000015"/>
        <n v="2853.3295999999996"/>
        <n v="1941.0840000000007"/>
        <n v="151.24899999999997"/>
        <n v="406.15599999999995"/>
        <n v="863.24200000000019"/>
        <n v="143.88"/>
        <n v="756.31000000000029"/>
        <n v="364.92000000000007"/>
        <n v="2365.4579999999996"/>
        <n v="1194.2899999999995"/>
        <n v="4135.239999999998"/>
        <n v="83.909999999999968"/>
        <n v="2570.6759999999995"/>
        <n v="138.31299999999999"/>
        <n v="8298.3900000000012"/>
        <n v="3396.3099999999995"/>
        <n v="1198.96"/>
        <n v="534.46999999999991"/>
        <n v="-124.97299999999998"/>
        <n v="3486.1079999999993"/>
        <n v="1348.2059999999997"/>
        <n v="8119.4500000000007"/>
        <n v="522.39"/>
        <n v="5151"/>
        <n v="972.48700000000008"/>
        <n v="877.21299999999997"/>
        <n v="573.40250000000003"/>
        <n v="1163.6645000000001"/>
        <n v="3122.7500000000009"/>
        <n v="2249.4259999999995"/>
        <n v="4299.204999999999"/>
        <n v="110.53999999999996"/>
        <n v="4859.0200000000004"/>
        <n v="1701.7710000000006"/>
        <n v="4081.0729999999985"/>
        <n v="5843.2900000000009"/>
        <n v="7467.8200000000015"/>
        <n v="-6222.8425000000007"/>
        <n v="856.60600000000022"/>
        <n v="6907.7099999999973"/>
        <n v="522.38000000000011"/>
        <n v="1446.3339999999998"/>
        <n v="1540.3140000000003"/>
        <n v="2070.46"/>
        <n v="4349.5099999999993"/>
        <n v="77.36749999999995"/>
        <n v="2459.5600000000013"/>
        <n v="1143.6914999999999"/>
        <n v="3294.5479999999998"/>
        <n v="2441.2549999999992"/>
        <n v="1251.8599999999997"/>
        <n v="725.85200000000032"/>
        <n v="1921.5229999999992"/>
        <n v="2470.56"/>
        <n v="3475.8799999999992"/>
        <n v="7288.7155000000021"/>
        <n v="1378.63"/>
        <n v="1273.0950000000003"/>
        <n v="7827.9480000000003"/>
        <n v="4318.7300000000014"/>
        <n v="660.26600000000042"/>
        <n v="4818.09"/>
        <n v="10291.794999999998"/>
        <n v="2084.64"/>
        <n v="209.8845"/>
        <n v="2847.1499999999996"/>
        <n v="228.18000000000006"/>
        <n v="1194.4500000000003"/>
        <n v="603.9699999999998"/>
        <n v="962.11000000000013"/>
        <n v="2053.0599999999995"/>
        <n v="1318.9230000000002"/>
        <n v="7289.3100000000013"/>
        <n v="6167.5310000000009"/>
        <n v="319.59000000000003"/>
        <n v="14784.535200000004"/>
        <n v="811.1004999999999"/>
        <n v="1632.348"/>
        <n v="1386.9939999999997"/>
        <n v="3777.6499999999987"/>
        <n v="5241.5139999999992"/>
        <n v="1375.67"/>
        <n v="780.54"/>
        <n v="1591.0300000000002"/>
        <n v="5915.09"/>
        <n v="1931.3599999999992"/>
        <n v="2005.3929999999991"/>
        <n v="2507.1999999999989"/>
        <n v="1239.7409999999991"/>
        <n v="687.24700000000018"/>
        <n v="1955.9399999999996"/>
        <n v="9118.6599999999962"/>
        <n v="-3459.9830000000002"/>
        <n v="6434.5550000000003"/>
        <n v="3556.795000000001"/>
        <n v="6971.241"/>
        <n v="1971.8720000000008"/>
        <n v="341.59400000000028"/>
        <n v="3774.7050000000008"/>
        <n v="9439.1539999999986"/>
        <n v="2580.2379999999994"/>
        <n v="1630.0900000000001"/>
        <n v="487.55200000000013"/>
        <n v="2956.4900000000016"/>
        <n v="-2371.0019999999995"/>
        <n v="4610.25"/>
        <n v="10534.378000000004"/>
        <n v="775.53400000000033"/>
        <n v="5736.2390000000005"/>
        <n v="6849.75"/>
        <n v="729.17999999999984"/>
        <n v="10870.589999999998"/>
        <n v="1771.1799999999985"/>
        <n v="1109.1939999999995"/>
        <n v="11511.240000000002"/>
        <n v="1159.4180000000001"/>
        <n v="8305.2304999999978"/>
        <n v="2750.612000000001"/>
        <n v="113.93999999999997"/>
        <n v="-753.01399999999978"/>
        <n v="939.52000000000021"/>
        <n v="2960.7180000000008"/>
        <n v="3706.3589999999995"/>
        <n v="300.89800000000014"/>
        <n v="3694.08"/>
        <n v="3902.7674999999999"/>
        <n v="1408.98"/>
        <n v="2769.7799999999988"/>
        <n v="6751.0939999999991"/>
        <n v="279.20000000000005"/>
        <n v="4265.2699999999995"/>
        <n v="1789.29"/>
        <n v="1013"/>
        <n v="3571.4625000000015"/>
        <n v="4751.8690000000006"/>
        <n v="3593.41"/>
        <n v="1418.17"/>
        <n v="4591.6299999999974"/>
        <n v="8387.724000000002"/>
        <n v="6861.42"/>
        <n v="1295.0269999999991"/>
        <n v="3464.4600000000009"/>
        <n v="13321.45"/>
        <n v="10960.760000000002"/>
        <n v="1077.4900000000007"/>
        <n v="3457.3880000000008"/>
        <n v="1822.4499999999989"/>
        <n v="4864.3750000000055"/>
        <n v="4343.5125000000007"/>
        <n v="2143.1040000000012"/>
        <n v="1119.1400000000003"/>
        <n v="4259.0200000000004"/>
        <n v="4485.7140000000009"/>
        <n v="8376.6808000000019"/>
        <n v="6459.6"/>
        <n v="355.07000000000016"/>
        <n v="652.15999999999985"/>
        <n v="1576.9399999999996"/>
        <n v="2025.9860000000003"/>
        <n v="3950.630000000001"/>
        <n v="15225.999000000003"/>
        <n v="289.91799999999989"/>
        <n v="1662.2774999999992"/>
        <n v="2228.73"/>
        <n v="3531.59"/>
        <n v="2968.8099999999995"/>
        <n v="4936.8989999999994"/>
        <n v="567.10449999999992"/>
        <n v="2205.3304999999982"/>
        <n v="4300.746000000001"/>
        <n v="3174.4199999999996"/>
        <n v="2480.0199999999995"/>
        <n v="1472.75"/>
        <n v="6241.79"/>
        <n v="370.99249999999984"/>
        <n v="1420.9940000000015"/>
        <n v="810.15999999999985"/>
        <n v="2826.76"/>
        <n v="3157.2200000000003"/>
        <n v="3618.4775"/>
        <n v="5837.9799999999977"/>
        <n v="2068.5700000000015"/>
        <n v="1353.6399999999999"/>
        <n v="1197.5300000000004"/>
        <n v="859.75400000000013"/>
        <n v="5700.5720000000019"/>
        <n v="431.81000000000017"/>
        <n v="2513.3300000000008"/>
        <n v="2315.8600000000006"/>
        <n v="2695.442"/>
        <n v="148.9899999999999"/>
        <n v="11951.610000000004"/>
        <n v="712.66899999999987"/>
        <n v="6391.2100000000028"/>
        <n v="1616.1414999999988"/>
        <n v="257.36699999999996"/>
        <n v="1320.0200000000004"/>
        <n v="666.62000000000012"/>
        <n v="1275.135"/>
        <n v="1883.9130000000005"/>
        <n v="2314.7799999999988"/>
        <n v="1288.0099999999998"/>
        <n v="6382.0275000000001"/>
        <n v="152.4799999999999"/>
        <n v="6229.1029999999992"/>
        <n v="2264.5399999999991"/>
        <n v="2235.2300000000005"/>
        <n v="2506.3500000000004"/>
        <n v="675.50500000000034"/>
        <n v="2604.3119999999999"/>
        <n v="565.47800000000052"/>
        <n v="569.35249999999996"/>
        <n v="4610.51"/>
        <n v="3920.1139999999987"/>
        <n v="2370.6970000000001"/>
        <n v="947.35000000000036"/>
        <n v="7348.6500000000015"/>
        <n v="6630.4100000000017"/>
        <n v="465.77700000000004"/>
        <n v="694.92500000000018"/>
        <n v="782.36000000000058"/>
        <n v="1420.5974999999994"/>
        <n v="9270.6020000000026"/>
        <n v="2172.33"/>
        <n v="544.72200000000021"/>
        <n v="8616.6219999999994"/>
        <n v="8824.7099999999991"/>
        <n v="752.66499999999996"/>
        <n v="3816.119999999999"/>
        <n v="958.48399999999992"/>
        <n v="1656.9249999999993"/>
        <n v="140.59400000000005"/>
        <n v="1222.1800000000003"/>
        <n v="1195.4599999999996"/>
        <n v="407.63349999999991"/>
        <n v="2234.2559999999994"/>
        <n v="1298.4019999999996"/>
        <n v="449.53599999999983"/>
        <n v="636.88999999999987"/>
        <n v="5705.8320000000022"/>
        <n v="4532.989999999998"/>
        <n v="823.14"/>
        <n v="967.69500000000016"/>
        <n v="7934.9919999999966"/>
        <n v="881.67800000000034"/>
        <n v="10185.890000000003"/>
        <n v="8042.8699999999953"/>
        <n v="97.487000000000023"/>
        <n v="5350.8899999999994"/>
        <n v="5472.9774999999991"/>
        <n v="1912.1320000000014"/>
        <n v="4035.0540000000001"/>
        <n v="2461.7400000000007"/>
        <n v="5059.2700000000004"/>
        <n v="1386.48"/>
        <n v="4447.2574999999988"/>
        <n v="3356.9700000000012"/>
        <n v="3217.884"/>
        <n v="1374.8000000000002"/>
        <n v="4232.9040000000023"/>
        <n v="1562.2025000000012"/>
        <n v="644.51400000000012"/>
        <n v="714.0300000000002"/>
        <n v="3199.5679999999993"/>
        <n v="1039.2600000000002"/>
        <n v="4356.6320000000014"/>
        <n v="3845.8250000000007"/>
        <n v="1157.75"/>
        <n v="530.36200000000053"/>
        <n v="2613.7380000000003"/>
        <n v="1807.8450000000003"/>
        <n v="750.00999999999976"/>
        <n v="364.78"/>
        <n v="2186.81"/>
        <n v="4399.5400000000027"/>
        <n v="440.24599999999998"/>
        <n v="2486.5620000000017"/>
        <n v="11130.693000000003"/>
        <n v="1167.9800000000002"/>
        <n v="1811.29"/>
        <n v="-4677.2619999999997"/>
        <n v="1037.9649999999999"/>
        <n v="266.89099999999991"/>
        <n v="2706.2499999999982"/>
        <n v="2069.9699999999993"/>
        <n v="1504.3420000000006"/>
        <n v="1873.4099999999999"/>
        <n v="2699.12"/>
        <n v="99.222000000000037"/>
        <n v="804.37900000000013"/>
        <n v="733.63600000000019"/>
        <n v="882.48"/>
        <n v="4184.2949999999964"/>
        <n v="707.61519999999973"/>
        <n v="1365.4839999999999"/>
        <n v="2982.6460000000006"/>
        <n v="457.0740000000003"/>
        <n v="249.36500000000001"/>
        <n v="3938.7599999999984"/>
        <n v="-23452.5635"/>
        <n v="4210.4339999999975"/>
        <n v="1088.3220000000006"/>
        <n v="3433.7699999999995"/>
        <n v="2888.26"/>
        <n v="4262.4880000000012"/>
        <n v="363.56999999999982"/>
        <n v="2156.91"/>
        <n v="3144.37"/>
        <n v="6020.3159999999989"/>
        <n v="1592.0600000000004"/>
        <n v="1585.6725000000001"/>
        <n v="2678.3849999999993"/>
        <n v="1848.786000000001"/>
        <n v="9229.1959999999999"/>
        <n v="2687.1743000000006"/>
        <n v="647.3599999999999"/>
        <n v="2655.8380000000016"/>
        <n v="1887.2124999999987"/>
        <n v="5111.0920000000006"/>
        <n v="715.96449999999993"/>
        <n v="3310.5069999999996"/>
        <n v="8495.0299999999988"/>
        <n v="1150.9000000000005"/>
        <n v="12208.226000000002"/>
        <n v="4297.3600000000015"/>
        <n v="564.08000000000004"/>
        <n v="3726.1999999999989"/>
        <n v="8255.9894999999997"/>
        <n v="4253.2900000000009"/>
        <n v="6310.6805000000004"/>
        <n v="87.013000000000034"/>
        <n v="7969.9369999999981"/>
        <n v="41.370000000000346"/>
        <n v="2562.9040000000005"/>
        <n v="2214.7820000000011"/>
        <n v="7595.9649999999983"/>
        <n v="467.05450000000019"/>
        <n v="5250.1200000000026"/>
        <n v="587.9050000000002"/>
        <n v="4453.5220000000045"/>
        <n v="2894.59"/>
        <n v="1394.0480000000007"/>
        <n v="105.04949999999997"/>
        <n v="3397.380000000001"/>
        <n v="3746.6069999999982"/>
        <n v="3944.8824999999988"/>
        <n v="4993.8590000000004"/>
        <n v="219.39"/>
        <n v="1999.2890000000007"/>
        <n v="3442.3820000000005"/>
        <n v="2531.5394999999999"/>
        <n v="-829.09800000000007"/>
        <n v="2115.1725000000006"/>
        <n v="1239.0160000000001"/>
        <n v="2339.8199999999993"/>
        <n v="1391.46"/>
        <n v="7257.5229999999974"/>
        <n v="5249.880000000001"/>
        <n v="5267.6100000000024"/>
        <n v="281.49999999999989"/>
        <n v="509.0300000000002"/>
        <n v="217.13400000000013"/>
        <n v="1076.6540000000005"/>
        <n v="505.6840000000002"/>
        <n v="2219.7280000000001"/>
        <n v="860.29200000000037"/>
        <n v="573.46699999999998"/>
        <n v="886.60500000000047"/>
        <n v="2723.9049999999988"/>
        <n v="2534.92"/>
        <n v="8141.2400000000016"/>
        <n v="767.54399999999998"/>
        <n v="250.97999999999996"/>
        <n v="1350.7599999999998"/>
        <n v="808.51400000000012"/>
        <n v="3992.3499999999985"/>
        <n v="744.24999999999977"/>
        <n v="5351.4449999999997"/>
        <n v="593.9699999999998"/>
        <n v="155.81599999999997"/>
        <n v="6358.0099999999984"/>
        <n v="1150.48"/>
        <n v="883.64200000000028"/>
        <n v="253.40049999999997"/>
        <n v="5602.7999999999993"/>
        <n v="1287.2000000000007"/>
        <n v="664.24400000000014"/>
        <n v="11116.911999999997"/>
        <n v="248.13000000000011"/>
        <n v="4684.4499999999989"/>
        <n v="4603.3599999999997"/>
        <n v="7493.5580000000009"/>
        <n v="12104.6625"/>
        <n v="2244.9700000000012"/>
        <n v="3380.0319999999992"/>
        <n v="5273.8050000000039"/>
        <n v="592.70000000000005"/>
        <n v="681.38249999999971"/>
        <n v="861.24500000000012"/>
        <n v="1985.5300000000007"/>
        <n v="2856.0899999999997"/>
        <n v="5396.6730000000025"/>
        <n v="8410.0139999999992"/>
        <n v="1375.6699999999996"/>
        <n v="-5188.0424999999996"/>
        <n v="2515.4225000000006"/>
        <n v="1195.3174999999992"/>
        <n v="7716.32"/>
        <n v="5296.9599999999955"/>
        <n v="1014.2949999999998"/>
        <n v="809.7859999999996"/>
        <n v="1648.2200000000003"/>
        <n v="8016.3650000000016"/>
        <n v="3728.84"/>
        <n v="1322.0940000000001"/>
        <n v="7002.0600000000031"/>
        <n v="4326.34"/>
        <n v="2082.4424999999992"/>
        <n v="483.4680000000003"/>
        <n v="1662.2800000000007"/>
        <n v="2146.1099999999997"/>
        <n v="3804.0880000000016"/>
        <n v="2817.6239999999989"/>
        <n v="2994.1069999999982"/>
        <n v="282.48799999999994"/>
        <n v="2541.7100000000009"/>
        <n v="869.11399999999958"/>
        <n v="973.0654999999997"/>
        <n v="4778.973"/>
        <n v="1714.9200000000019"/>
        <n v="8886.3159999999953"/>
        <n v="2694.340000000002"/>
        <n v="572.13799999999992"/>
        <n v="4119.47"/>
        <n v="5990.7925000000014"/>
        <n v="2789.3080000000009"/>
        <n v="1974.8720000000003"/>
        <n v="3111.5180000000009"/>
        <n v="468.79499999999985"/>
        <n v="343.76600000000008"/>
        <n v="2843.87"/>
        <n v="3270.0274999999992"/>
        <n v="10046.063999999998"/>
        <n v="3335.155999999999"/>
        <n v="5478.6040000000003"/>
        <n v="503.58500000000004"/>
        <n v="3569.018"/>
        <n v="1548.6180000000008"/>
        <n v="2940.6400000000003"/>
        <n v="5828.5919999999987"/>
        <n v="798.92999999999984"/>
        <n v="7228.5375000000004"/>
        <n v="5950.3835000000036"/>
        <n v="393.65800000000013"/>
        <n v="3483.2700000000004"/>
        <n v="3858.3400000000011"/>
        <n v="741.58999999999992"/>
        <n v="7276.1100000000024"/>
        <n v="197.01600000000008"/>
        <n v="6770.1959999999999"/>
        <n v="687.6"/>
        <n v="2308.63"/>
        <n v="4745.8448000000008"/>
        <n v="471.17399999999998"/>
        <n v="2057.5139999999997"/>
        <n v="42.348499999999945"/>
        <n v="719.60999999999967"/>
        <n v="528.73000000000025"/>
        <n v="1875.71"/>
        <n v="2615.6320000000005"/>
        <n v="13465.180500000002"/>
        <n v="4145.9075000000003"/>
        <n v="5376.08"/>
        <n v="402.89"/>
        <n v="1078.5499999999997"/>
        <n v="5375.829499999998"/>
        <n v="2918.5500000000011"/>
        <n v="9465.2865000000002"/>
        <n v="-2188.826"/>
        <n v="2752.5699999999997"/>
        <n v="1818.3600000000006"/>
        <n v="3658.6800000000003"/>
        <n v="2390.9300000000012"/>
        <n v="7465.7599999999984"/>
        <n v="-2293.2825000000007"/>
        <n v="2043.3400000000001"/>
        <n v="190.52000000000004"/>
        <n v="2910.8359999999993"/>
        <n v="1442.6370000000002"/>
        <n v="665.23"/>
        <n v="3668.9699999999984"/>
        <n v="2612.6379999999999"/>
        <n v="3790.884500000001"/>
        <n v="2001.8099999999995"/>
        <n v="403.2299999999999"/>
        <n v="1434.1099999999997"/>
        <n v="2120.75"/>
        <n v="4003.377999999997"/>
        <n v="1652.1824999999999"/>
        <n v="3100.8150000000005"/>
        <n v="1888.7699999999995"/>
        <n v="872.73800000000028"/>
        <n v="180.67700000000002"/>
        <n v="581.44550000000004"/>
        <n v="4663.4325000000008"/>
        <n v="547.19500000000016"/>
        <n v="-3302.3350000000009"/>
        <n v="3325.3179999999993"/>
        <n v="1692.7679999999991"/>
        <n v="1464.2700000000004"/>
        <n v="1716.2724999999996"/>
        <n v="2803.3599999999988"/>
        <n v="85.347500000000025"/>
        <n v="4700.4799999999996"/>
        <n v="4409.6000000000004"/>
        <n v="1054.9369999999999"/>
        <n v="6860.003999999999"/>
        <n v="1061.1279999999992"/>
        <n v="1530.9359999999997"/>
        <n v="2780.268"/>
        <n v="3361.7199999999993"/>
        <n v="1800"/>
        <n v="4044.1909999999989"/>
        <n v="262.52"/>
        <n v="6421.6100000000006"/>
        <n v="2692.7799999999997"/>
        <n v="9095.1659999999974"/>
        <n v="813.73700000000008"/>
        <n v="3717.6929999999993"/>
        <n v="431.86400000000003"/>
        <n v="5510.6080000000002"/>
        <n v="6191.130000000001"/>
        <n v="9843.74"/>
        <n v="2680.6820000000007"/>
        <n v="1122.9220000000005"/>
        <n v="1005.0450000000003"/>
        <n v="963.61999999999989"/>
        <n v="889.35000000000014"/>
        <n v="3901.255000000001"/>
        <n v="2750.3000000000011"/>
        <n v="3257.0200000000004"/>
        <n v="3130.4199999999992"/>
        <n v="475.65999999999963"/>
        <n v="1898.4349999999995"/>
        <n v="677.096"/>
        <n v="2029.8880000000008"/>
        <n v="4445.0640000000003"/>
        <n v="821.19999999999982"/>
        <n v="403.40499999999997"/>
        <n v="3971.8039999999964"/>
        <n v="1507.6624999999985"/>
        <n v="3337.5049999999974"/>
        <n v="745.43099999999959"/>
        <n v="466.44999999999982"/>
        <n v="1931.9799999999996"/>
        <n v="1734.2700000000004"/>
        <n v="1899.4250000000002"/>
        <n v="754.27999999999975"/>
        <n v="5509.0775000000031"/>
        <n v="5861.4900000000007"/>
        <n v="2456.75"/>
        <n v="1135.152000000001"/>
        <n v="4373.34"/>
        <n v="3552.9699999999975"/>
        <n v="609.55000000000018"/>
        <n v="7421.5820000000022"/>
        <n v="350.34499999999991"/>
        <n v="3387.24"/>
        <n v="3057.0275000000001"/>
        <n v="1075.3800000000001"/>
        <n v="5004.9499999999989"/>
        <n v="947.76899999999978"/>
        <n v="3245.3040000000001"/>
        <n v="3063.3"/>
        <n v="9845.8200000000015"/>
        <n v="9183.93"/>
        <n v="1534.9960000000001"/>
        <n v="1034.9500000000007"/>
        <n v="3410.5519999999997"/>
        <n v="386.41600000000005"/>
        <n v="258.91999999999985"/>
        <n v="341.03099999999984"/>
        <n v="546.13349999999969"/>
        <n v="504.42399999999998"/>
        <n v="1015.25"/>
        <n v="653.65999999999985"/>
        <n v="2150.3929999999991"/>
        <n v="6364.9579999999987"/>
        <n v="4683.41"/>
        <n v="943.65599999999995"/>
        <n v="4083.2099999999991"/>
        <n v="1064.9160000000002"/>
        <n v="6103.1299999999992"/>
        <n v="2408.9674999999988"/>
        <n v="9168.3499999999985"/>
        <n v="3357.873999999998"/>
        <n v="3164.49"/>
        <n v="5697.9499999999989"/>
        <n v="707.78750000000036"/>
        <n v="4498.8819999999978"/>
        <n v="2040.8740000000007"/>
        <n v="3396.8400000000011"/>
        <n v="1737.8299999999995"/>
        <n v="441.00899999999979"/>
        <n v="444"/>
        <n v="1032.4259999999999"/>
        <n v="655.43400000000065"/>
        <n v="995.4380000000001"/>
        <n v="2291.8920000000007"/>
        <n v="892.37749999999983"/>
        <n v="1101.3300000000004"/>
        <n v="3705.6299999999992"/>
        <n v="1079.4700000000003"/>
        <n v="924.21"/>
        <n v="1128.7494999999994"/>
        <n v="288.37"/>
        <n v="3519.8149999999996"/>
        <n v="7978.4348000000009"/>
        <n v="7065.6400000000031"/>
        <n v="74.882000000000005"/>
        <n v="1767.8040000000019"/>
        <n v="1612.1080000000002"/>
        <n v="746.69150000000013"/>
        <n v="4794.7939999999944"/>
        <n v="885.94"/>
        <n v="2643.7249999999995"/>
        <n v="113.19749999999999"/>
        <n v="10999.593999999999"/>
        <n v="2010.2820000000002"/>
        <n v="2798.612000000001"/>
        <n v="10671.195"/>
        <n v="10879.461000000007"/>
        <n v="5586.630000000001"/>
        <n v="968.73"/>
        <n v="4365.673499999999"/>
        <n v="223.36"/>
        <n v="2859.2974999999997"/>
        <n v="636.54999999999995"/>
        <n v="1632.1759999999999"/>
        <n v="1655.7599999999993"/>
        <n v="5250.6999999999971"/>
        <n v="2319.2919999999995"/>
        <n v="12707.693600000006"/>
        <n v="1298.81"/>
        <n v="7251.9724999999962"/>
        <n v="2374.3599999999997"/>
        <n v="93.938000000000045"/>
        <n v="224.70249999999987"/>
        <n v="732.38200000000006"/>
        <n v="1049.1699999999992"/>
        <n v="267.32999999999993"/>
        <n v="9477.3925000000036"/>
        <n v="595.42999999999984"/>
        <n v="3242.1119999999983"/>
        <n v="1009.2649999999999"/>
        <n v="866.71399999999994"/>
        <n v="2013.375"/>
        <n v="4435.1200000000008"/>
        <n v="8792.6999999999953"/>
        <n v="1877.9539999999997"/>
        <n v="4666.7659999999996"/>
        <n v="2177.8200000000006"/>
        <n v="2045.7800000000007"/>
        <n v="2402.989999999998"/>
        <n v="2326.0299999999997"/>
        <n v="5544.4839999999986"/>
        <n v="824.01499999999987"/>
        <n v="829.57699999999977"/>
        <n v="1927.5099999999998"/>
        <n v="4982.1680000000015"/>
        <n v="7217.4499999999989"/>
        <n v="3156.5199999999995"/>
        <n v="1854.0519999999992"/>
        <n v="9118.9079999999994"/>
        <n v="6901.8420000000024"/>
        <n v="6352.75"/>
        <n v="951.17399999999998"/>
        <n v="2512.4359999999997"/>
        <n v="1594.723"/>
        <n v="2537.5100000000002"/>
        <n v="7562.8725000000013"/>
        <n v="2755.2700000000004"/>
        <n v="517.26"/>
        <n v="1155.7179999999998"/>
        <n v="467.41999999999985"/>
        <n v="6023.3849999999984"/>
        <n v="6546.24"/>
        <n v="1905.5439999999999"/>
        <n v="1235.21"/>
        <n v="2319.768"/>
        <n v="4415.9449999999997"/>
        <n v="157.65200000000004"/>
        <n v="281.52650000000006"/>
        <n v="8812.3700000000026"/>
        <n v="976.12199999999962"/>
        <n v="680.31849999999986"/>
        <n v="1162.8400000000001"/>
        <n v="1070.6700000000005"/>
        <n v="1024.6400000000003"/>
      </sharedItems>
    </cacheField>
    <cacheField name="profit_margin" numFmtId="0">
      <sharedItems containsSemiMixedTypes="0" containsString="0" containsNumber="1" minValue="-4.5764791949555343" maxValue="0.63731759836591895"/>
    </cacheField>
    <cacheField name="order_month" numFmtId="0">
      <sharedItems count="12">
        <s v="Jul"/>
        <s v="Aug"/>
        <s v="Jun"/>
        <s v="Nov"/>
        <s v="May"/>
        <s v="Apr"/>
        <s v="Feb"/>
        <s v="Sep"/>
        <s v="Dec"/>
        <s v="Oct"/>
        <s v="Jan"/>
        <s v="Mar"/>
      </sharedItems>
    </cacheField>
    <cacheField name="order_year" numFmtId="0">
      <sharedItems containsSemiMixedTypes="0" containsString="0" containsNumber="1" containsInteger="1" minValue="2024" maxValue="2025" count="2">
        <n v="2024"/>
        <n v="2025"/>
      </sharedItems>
    </cacheField>
    <cacheField name="data_quality_flag" numFmtId="0">
      <sharedItems/>
    </cacheField>
    <cacheField name="Profit Margin %" numFmtId="0" formula="calculated_profit/calculated_sal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001"/>
    <d v="2024-07-21T00:00:00"/>
    <d v="2024-07-27T00:00:00"/>
    <s v="CUST-4655"/>
    <s v="Karan Malhotra"/>
    <x v="0"/>
    <x v="0"/>
    <s v="Rajasthan"/>
    <s v="Jaipur"/>
    <x v="0"/>
    <x v="0"/>
    <s v="Pro Paper 122"/>
    <x v="0"/>
    <n v="8"/>
    <n v="2976.45"/>
    <n v="0.2"/>
    <n v="19049.28"/>
    <n v="15841.89"/>
    <n v="3207.39"/>
    <s v="Paid"/>
    <x v="0"/>
    <s v="OK"/>
    <s v="OK"/>
    <s v="OK"/>
    <s v="OK"/>
    <n v="6"/>
    <s v="Unique"/>
    <n v="0.2"/>
    <s v="Valid"/>
    <n v="19049.28"/>
    <x v="0"/>
    <n v="0.16837329284886357"/>
    <x v="0"/>
    <x v="0"/>
    <s v="Clean"/>
  </r>
  <r>
    <s v="ORD-2024-10002"/>
    <d v="2024-08-31T00:00:00"/>
    <d v="2024-09-05T00:00:00"/>
    <s v="CUST-2054"/>
    <s v="Mira Das"/>
    <x v="1"/>
    <x v="1"/>
    <s v="Odisha"/>
    <s v="Bhubaneswar"/>
    <x v="1"/>
    <x v="1"/>
    <s v="Pro Tables 258"/>
    <x v="1"/>
    <n v="3"/>
    <n v="2437.5"/>
    <n v="0"/>
    <n v="7312.5"/>
    <n v="4904.7299999999996"/>
    <n v="2407.77"/>
    <s v="Paid"/>
    <x v="0"/>
    <s v="OK"/>
    <s v="OK"/>
    <s v="OK"/>
    <s v="OK"/>
    <n v="5"/>
    <s v="Unique"/>
    <n v="0"/>
    <s v="Valid"/>
    <n v="7312.5"/>
    <x v="1"/>
    <n v="0.32926769230769237"/>
    <x v="1"/>
    <x v="0"/>
    <s v="Clean"/>
  </r>
  <r>
    <s v="ORD-2024-10003"/>
    <d v="2024-06-08T00:00:00"/>
    <d v="2024-06-15T00:00:00"/>
    <s v="CUST-6843"/>
    <s v="Isha Nair"/>
    <x v="0"/>
    <x v="1"/>
    <s v="Odisha"/>
    <s v="Bhubaneswar"/>
    <x v="0"/>
    <x v="2"/>
    <s v="Elite Art 525"/>
    <x v="2"/>
    <n v="4"/>
    <n v="1065.43"/>
    <n v="0.55000000000000004"/>
    <n v="4261.72"/>
    <n v="2465.69"/>
    <n v="1796.03"/>
    <s v="Paid"/>
    <x v="0"/>
    <s v="OK"/>
    <s v="OK"/>
    <s v="OK"/>
    <s v="OK"/>
    <n v="7"/>
    <s v="Unique"/>
    <n v="0.55000000000000004"/>
    <s v="Valid"/>
    <n v="1917.7739999999999"/>
    <x v="2"/>
    <n v="-0.28570415492127865"/>
    <x v="2"/>
    <x v="0"/>
    <s v="Clean"/>
  </r>
  <r>
    <s v="ORD-2024-10004"/>
    <d v="2024-11-28T00:00:00"/>
    <d v="2024-11-29T00:00:00"/>
    <s v="CUST-3722"/>
    <s v="Arjun Bose"/>
    <x v="1"/>
    <x v="2"/>
    <s v="Telangana"/>
    <s v="Hyderabad"/>
    <x v="1"/>
    <x v="3"/>
    <s v="Smart Furnishings 294"/>
    <x v="3"/>
    <n v="6"/>
    <n v="1848.43"/>
    <n v="0.25"/>
    <n v="8317.93"/>
    <n v="6796.77"/>
    <n v="1521.16"/>
    <s v="Paid"/>
    <x v="0"/>
    <s v="OK"/>
    <s v="OK"/>
    <s v="OK"/>
    <s v="OK"/>
    <n v="1"/>
    <s v="Unique"/>
    <n v="0.25"/>
    <s v="Valid"/>
    <n v="8317.9349999999995"/>
    <x v="3"/>
    <n v="0.18287772145370204"/>
    <x v="3"/>
    <x v="0"/>
    <s v="Clean"/>
  </r>
  <r>
    <s v="ORD-2025-10005"/>
    <d v="2025-08-29T00:00:00"/>
    <d v="2025-09-01T00:00:00"/>
    <s v="CUST-8130"/>
    <s v="Ananya Rao"/>
    <x v="1"/>
    <x v="3"/>
    <s v="Maharashtra"/>
    <s v="Mumbai"/>
    <x v="1"/>
    <x v="4"/>
    <s v="Elite Chairs 543"/>
    <x v="2"/>
    <n v="7"/>
    <n v="2973.76"/>
    <n v="0"/>
    <n v="20816.32"/>
    <n v="17705.37"/>
    <n v="3110.95"/>
    <s v="Paid"/>
    <x v="1"/>
    <s v="OK"/>
    <s v="OK"/>
    <s v="OK"/>
    <s v="OK"/>
    <n v="3"/>
    <s v="Unique"/>
    <n v="0"/>
    <s v="Valid"/>
    <n v="20816.32"/>
    <x v="4"/>
    <n v="0.14944764492475138"/>
    <x v="1"/>
    <x v="1"/>
    <s v="Clean"/>
  </r>
  <r>
    <s v="ORD-2024-10006"/>
    <d v="2024-05-24T00:00:00"/>
    <d v="2024-05-28T00:00:00"/>
    <s v="CUST-6056"/>
    <s v="Vikram Iyer"/>
    <x v="1"/>
    <x v="3"/>
    <s v="Madhya Pradesh"/>
    <s v="Indore"/>
    <x v="2"/>
    <x v="5"/>
    <s v="Pro Accessories 821"/>
    <x v="1"/>
    <n v="3"/>
    <n v="1053.1099999999999"/>
    <n v="0.2"/>
    <n v="2527.46"/>
    <n v="1533.58"/>
    <n v="993.88"/>
    <s v="Paid"/>
    <x v="0"/>
    <s v="OK"/>
    <s v="OK"/>
    <s v="OK"/>
    <s v="OK"/>
    <n v="4"/>
    <s v="Unique"/>
    <n v="0.2"/>
    <s v="Valid"/>
    <n v="2527.4639999999999"/>
    <x v="5"/>
    <n v="0.39323369195367375"/>
    <x v="4"/>
    <x v="0"/>
    <s v="Clean"/>
  </r>
  <r>
    <s v="ORD-2025-10007"/>
    <d v="2025-04-10T00:00:00"/>
    <d v="2025-04-16T00:00:00"/>
    <s v="CUST-3656"/>
    <s v="Neha Gupta"/>
    <x v="0"/>
    <x v="1"/>
    <s v="Odisha"/>
    <s v="Bhubaneswar"/>
    <x v="2"/>
    <x v="6"/>
    <s v="Eco Copiers 790"/>
    <x v="3"/>
    <n v="4"/>
    <n v="1719.87"/>
    <n v="0.15"/>
    <n v="5847.56"/>
    <n v="4727.25"/>
    <n v="1120.31"/>
    <s v="Paid"/>
    <x v="0"/>
    <s v="OK"/>
    <s v="OK"/>
    <s v="OK"/>
    <s v="OK"/>
    <n v="6"/>
    <s v="Unique"/>
    <n v="0.15"/>
    <s v="Valid"/>
    <n v="5847.5579999999991"/>
    <x v="6"/>
    <n v="0.19158561573908275"/>
    <x v="5"/>
    <x v="1"/>
    <s v="Clean"/>
  </r>
  <r>
    <s v="ORD-2025-10008"/>
    <d v="2025-02-23T00:00:00"/>
    <d v="2025-02-26T00:00:00"/>
    <s v="CUST-4683"/>
    <s v="Isha Nair"/>
    <x v="1"/>
    <x v="2"/>
    <s v="Andhra Pradesh"/>
    <s v="Vijayawada"/>
    <x v="0"/>
    <x v="2"/>
    <s v="Eco Art 848"/>
    <x v="2"/>
    <n v="1"/>
    <n v="2980.71"/>
    <n v="0"/>
    <n v="2980.71"/>
    <n v="2357.2199999999998"/>
    <n v="623.49"/>
    <s v="Paid"/>
    <x v="0"/>
    <s v="OK"/>
    <s v="OK"/>
    <s v="OK"/>
    <s v="OK"/>
    <n v="3"/>
    <s v="Unique"/>
    <n v="0"/>
    <s v="Valid"/>
    <n v="2980.71"/>
    <x v="7"/>
    <n v="0.20917499521925992"/>
    <x v="6"/>
    <x v="1"/>
    <s v="Clean"/>
  </r>
  <r>
    <s v="ORD-2024-10009"/>
    <d v="2024-11-05T00:00:00"/>
    <d v="2024-11-10T00:00:00"/>
    <s v="CUST-2598"/>
    <s v="Aditi Sen"/>
    <x v="2"/>
    <x v="2"/>
    <s v="Telangana"/>
    <s v="Hyderabad"/>
    <x v="0"/>
    <x v="7"/>
    <s v="Classic Labels 815"/>
    <x v="2"/>
    <n v="8"/>
    <n v="3134.2"/>
    <n v="0"/>
    <n v="25073.599999999999"/>
    <n v="17347.23"/>
    <n v="7726.37"/>
    <s v="Paid"/>
    <x v="0"/>
    <s v="OK"/>
    <s v="OK"/>
    <s v="OK"/>
    <s v="OK"/>
    <n v="5"/>
    <s v="Unique"/>
    <n v="0"/>
    <s v="Valid"/>
    <n v="25073.599999999999"/>
    <x v="8"/>
    <n v="0.30814761342607361"/>
    <x v="3"/>
    <x v="0"/>
    <s v="Clean"/>
  </r>
  <r>
    <s v="ORD-2025-10010"/>
    <d v="2025-09-07T00:00:00"/>
    <d v="2025-09-12T00:00:00"/>
    <s v="CUST-2483"/>
    <s v="Mira Das"/>
    <x v="3"/>
    <x v="2"/>
    <s v="Telangana"/>
    <s v="Hyderabad"/>
    <x v="0"/>
    <x v="0"/>
    <s v="Pro Paper 622"/>
    <x v="0"/>
    <n v="9"/>
    <n v="852.04"/>
    <n v="0.2"/>
    <n v="6134.69"/>
    <n v="3800.19"/>
    <n v="2334.5"/>
    <s v="Paid"/>
    <x v="0"/>
    <s v="OK"/>
    <s v="OK"/>
    <s v="OK"/>
    <s v="OK"/>
    <n v="5"/>
    <s v="Unique"/>
    <n v="0.2"/>
    <s v="Valid"/>
    <n v="6134.6880000000001"/>
    <x v="9"/>
    <n v="0.38054062407085737"/>
    <x v="7"/>
    <x v="1"/>
    <s v="Clean"/>
  </r>
  <r>
    <s v="ORD-2025-10011"/>
    <d v="2025-05-20T00:00:00"/>
    <d v="2025-05-20T00:00:00"/>
    <s v="CUST-8092"/>
    <s v="Ananya Rao"/>
    <x v="2"/>
    <x v="1"/>
    <s v="West Bengal"/>
    <s v="Kolkata"/>
    <x v="0"/>
    <x v="7"/>
    <s v="Prime Labels 644"/>
    <x v="0"/>
    <n v="3"/>
    <n v="3534.83"/>
    <n v="0.05"/>
    <n v="10074.27"/>
    <n v="6048.27"/>
    <n v="4026"/>
    <s v="Refunded"/>
    <x v="2"/>
    <s v="OK"/>
    <s v="OK"/>
    <s v="OK"/>
    <s v="OK"/>
    <n v="0"/>
    <s v="Unique"/>
    <n v="0.05"/>
    <s v="Valid"/>
    <n v="10074.2655"/>
    <x v="10"/>
    <n v="0.39963166545491574"/>
    <x v="4"/>
    <x v="1"/>
    <s v="Clean"/>
  </r>
  <r>
    <s v="ORD-2024-10012"/>
    <d v="2024-07-22T00:00:00"/>
    <d v="2024-07-23T00:00:00"/>
    <s v="CUST-6528"/>
    <s v="Vikram Iyer"/>
    <x v="1"/>
    <x v="1"/>
    <s v="Odisha"/>
    <s v="Bhubaneswar"/>
    <x v="2"/>
    <x v="5"/>
    <s v="Smart Accessories 603"/>
    <x v="1"/>
    <n v="6"/>
    <n v="2005.95"/>
    <n v="0.2"/>
    <n v="9628.56"/>
    <n v="8038.59"/>
    <n v="1589.97"/>
    <s v="Paid"/>
    <x v="0"/>
    <s v="OK"/>
    <s v="OK"/>
    <s v="OK"/>
    <s v="OK"/>
    <n v="1"/>
    <s v="Unique"/>
    <n v="0.2"/>
    <s v="Valid"/>
    <n v="9628.5600000000013"/>
    <x v="11"/>
    <n v="0.16513061143099289"/>
    <x v="0"/>
    <x v="0"/>
    <s v="Clean"/>
  </r>
  <r>
    <s v="ORD-2024-10013"/>
    <d v="2024-12-20T00:00:00"/>
    <d v="2024-12-21T00:00:00"/>
    <s v="CUST-2648"/>
    <s v="Ananya Rao"/>
    <x v="2"/>
    <x v="3"/>
    <s v="Rajasthan"/>
    <s v="Udaipur"/>
    <x v="0"/>
    <x v="0"/>
    <s v="Pro Paper 481"/>
    <x v="2"/>
    <n v="1"/>
    <n v="702.14"/>
    <n v="0.15"/>
    <n v="596.82000000000005"/>
    <n v="380.25"/>
    <n v="216.57"/>
    <s v="Pending"/>
    <x v="2"/>
    <s v="OK"/>
    <s v="OK"/>
    <s v="OK"/>
    <s v="OK"/>
    <n v="1"/>
    <s v="Unique"/>
    <n v="0.15"/>
    <s v="Valid"/>
    <n v="596.81899999999996"/>
    <x v="12"/>
    <n v="0.36287216057129545"/>
    <x v="8"/>
    <x v="0"/>
    <s v="Clean"/>
  </r>
  <r>
    <s v="ORD-2025-10014"/>
    <d v="2025-10-12T00:00:00"/>
    <d v="2025-10-16T00:00:00"/>
    <s v="CUST-7482"/>
    <s v="Priya Menon"/>
    <x v="1"/>
    <x v="3"/>
    <s v="Maharashtra"/>
    <s v="Mumbai"/>
    <x v="0"/>
    <x v="2"/>
    <s v="Smart Art 795"/>
    <x v="0"/>
    <n v="7"/>
    <n v="3964.72"/>
    <n v="0.05"/>
    <n v="26365.39"/>
    <n v="22306.240000000002"/>
    <n v="4059.15"/>
    <s v="Paid"/>
    <x v="0"/>
    <s v="OK"/>
    <s v="OK"/>
    <s v="OK"/>
    <s v="OK"/>
    <n v="4"/>
    <s v="Unique"/>
    <n v="0.05"/>
    <s v="Valid"/>
    <n v="26365.387999999995"/>
    <x v="13"/>
    <n v="0.15395745361304733"/>
    <x v="9"/>
    <x v="1"/>
    <s v="Clean"/>
  </r>
  <r>
    <s v="ORD-2024-10015"/>
    <d v="2024-12-27T00:00:00"/>
    <d v="2024-12-28T00:00:00"/>
    <s v="CUST-4912"/>
    <s v="Rahul Verma"/>
    <x v="0"/>
    <x v="3"/>
    <s v="Rajasthan"/>
    <s v="Udaipur"/>
    <x v="2"/>
    <x v="6"/>
    <s v="Max Copiers 983"/>
    <x v="3"/>
    <n v="2"/>
    <n v="2737.83"/>
    <n v="0.25"/>
    <n v="4106.74"/>
    <n v="2666.3"/>
    <n v="1440.44"/>
    <s v="Paid"/>
    <x v="0"/>
    <s v="OK"/>
    <s v="OK"/>
    <s v="OK"/>
    <s v="OK"/>
    <n v="1"/>
    <s v="Unique"/>
    <n v="0.25"/>
    <s v="Valid"/>
    <n v="4106.7449999999999"/>
    <x v="14"/>
    <n v="0.35075102057712365"/>
    <x v="8"/>
    <x v="0"/>
    <s v="Clean"/>
  </r>
  <r>
    <s v="ORD-2024-10016"/>
    <d v="2024-07-09T00:00:00"/>
    <d v="2024-07-09T00:00:00"/>
    <s v="CUST-7656"/>
    <s v="Karan Malhotra"/>
    <x v="1"/>
    <x v="0"/>
    <s v="Punjab"/>
    <s v="Ludhiana"/>
    <x v="0"/>
    <x v="8"/>
    <s v="Classic Storage 198"/>
    <x v="0"/>
    <n v="6"/>
    <n v="3965.76"/>
    <n v="0"/>
    <n v="23794.560000000001"/>
    <n v="15698.47"/>
    <n v="8096.09"/>
    <s v="Paid"/>
    <x v="0"/>
    <s v="OK"/>
    <s v="OK"/>
    <s v="OK"/>
    <s v="OK"/>
    <n v="0"/>
    <s v="Unique"/>
    <n v="0"/>
    <s v="Valid"/>
    <n v="23794.560000000001"/>
    <x v="15"/>
    <n v="0.34024962008122872"/>
    <x v="0"/>
    <x v="0"/>
    <s v="Clean"/>
  </r>
  <r>
    <s v="ORD-2024-10017"/>
    <d v="2024-05-08T00:00:00"/>
    <d v="2024-05-15T00:00:00"/>
    <s v="CUST-6214"/>
    <s v="Aarav Sharma"/>
    <x v="0"/>
    <x v="2"/>
    <s v="Telangana"/>
    <s v="Hyderabad"/>
    <x v="0"/>
    <x v="2"/>
    <s v="Basic Art 204"/>
    <x v="2"/>
    <n v="4"/>
    <n v="3323.51"/>
    <n v="0.25"/>
    <n v="9970.5300000000007"/>
    <n v="5668.17"/>
    <n v="4302.3599999999997"/>
    <s v="Paid"/>
    <x v="0"/>
    <s v="OK"/>
    <s v="OK"/>
    <s v="OK"/>
    <s v="OK"/>
    <n v="7"/>
    <s v="Unique"/>
    <n v="0.25"/>
    <s v="Valid"/>
    <n v="9970.5300000000007"/>
    <x v="16"/>
    <n v="0.43150765305354882"/>
    <x v="4"/>
    <x v="0"/>
    <s v="Clean"/>
  </r>
  <r>
    <s v="ORD-2024-10018"/>
    <d v="2024-01-07T00:00:00"/>
    <d v="2024-01-08T00:00:00"/>
    <s v="CUST-1626"/>
    <s v="Sneha Kapoor"/>
    <x v="1"/>
    <x v="0"/>
    <s v="Rajasthan"/>
    <s v="Jaipur"/>
    <x v="1"/>
    <x v="3"/>
    <s v="Basic Furnishings 434"/>
    <x v="1"/>
    <n v="5"/>
    <n v="1526.78"/>
    <n v="0"/>
    <n v="7633.9"/>
    <n v="4706.91"/>
    <n v="2926.99"/>
    <s v="Paid"/>
    <x v="0"/>
    <s v="OK"/>
    <s v="OK"/>
    <s v="OK"/>
    <s v="OK"/>
    <n v="1"/>
    <s v="Unique"/>
    <n v="0"/>
    <s v="Valid"/>
    <n v="7633.9"/>
    <x v="17"/>
    <n v="0.38342000812166782"/>
    <x v="10"/>
    <x v="0"/>
    <s v="Clean"/>
  </r>
  <r>
    <s v="ORD-2025-10019"/>
    <d v="2025-07-15T00:00:00"/>
    <d v="2025-07-17T00:00:00"/>
    <s v="CUST-2110"/>
    <s v="Aarav Sharma"/>
    <x v="3"/>
    <x v="0"/>
    <s v="Uttar Pradesh"/>
    <s v="Noida"/>
    <x v="2"/>
    <x v="6"/>
    <s v="Eco Copiers 755"/>
    <x v="2"/>
    <n v="2"/>
    <n v="1997.99"/>
    <n v="0"/>
    <n v="3995.98"/>
    <n v="2633.2"/>
    <n v="1362.78"/>
    <s v="Refunded"/>
    <x v="1"/>
    <s v="OK"/>
    <s v="OK"/>
    <s v="OK"/>
    <s v="OK"/>
    <n v="2"/>
    <s v="Unique"/>
    <n v="0"/>
    <s v="Valid"/>
    <n v="3995.98"/>
    <x v="18"/>
    <n v="0.34103774293164635"/>
    <x v="0"/>
    <x v="1"/>
    <s v="Clean"/>
  </r>
  <r>
    <s v="ORD-2024-10020"/>
    <d v="2024-07-27T00:00:00"/>
    <d v="2024-07-31T00:00:00"/>
    <s v="CUST-3186"/>
    <s v="Rohan Mehta"/>
    <x v="3"/>
    <x v="3"/>
    <s v="Madhya Pradesh"/>
    <s v="Indore"/>
    <x v="0"/>
    <x v="8"/>
    <s v="Prime Storage 121"/>
    <x v="0"/>
    <n v="3"/>
    <n v="3887.94"/>
    <n v="-0.19"/>
    <n v="9331.06"/>
    <n v="7529.31"/>
    <n v="1801.75"/>
    <s v="Paid"/>
    <x v="0"/>
    <s v="OK"/>
    <s v="OK"/>
    <s v="OK"/>
    <s v="OK"/>
    <n v="4"/>
    <s v="Unique"/>
    <n v="-0.19"/>
    <s v="Invalid: Negative Discount"/>
    <n v="13879.9458"/>
    <x v="19"/>
    <n v="0.45754038895454474"/>
    <x v="0"/>
    <x v="0"/>
    <s v="Invalid"/>
  </r>
  <r>
    <s v="ORD-2025-10021"/>
    <d v="2025-01-21T00:00:00"/>
    <d v="2025-01-23T00:00:00"/>
    <s v="CUST-3190"/>
    <s v="Aditi Sen"/>
    <x v="3"/>
    <x v="1"/>
    <s v="Bihar"/>
    <s v="Patna"/>
    <x v="2"/>
    <x v="6"/>
    <s v="Elite Copiers 233"/>
    <x v="2"/>
    <n v="5"/>
    <n v="4373.0600000000004"/>
    <n v="0.25"/>
    <n v="16398.98"/>
    <n v="9556.52"/>
    <n v="6842.46"/>
    <s v="Paid"/>
    <x v="0"/>
    <s v="OK"/>
    <s v="OK"/>
    <s v="OK"/>
    <s v="OK"/>
    <n v="2"/>
    <s v="Unique"/>
    <n v="0.25"/>
    <s v="Valid"/>
    <n v="16398.975000000002"/>
    <x v="20"/>
    <n v="0.4172489439126531"/>
    <x v="10"/>
    <x v="1"/>
    <s v="Clean"/>
  </r>
  <r>
    <s v="ORD-2025-10022"/>
    <d v="2025-01-24T00:00:00"/>
    <d v="2025-01-30T00:00:00"/>
    <s v="CUST-3036"/>
    <s v="Sneha Kapoor"/>
    <x v="0"/>
    <x v="3"/>
    <s v="Madhya Pradesh"/>
    <s v="Indore"/>
    <x v="1"/>
    <x v="3"/>
    <s v="Eco Furnishings 897"/>
    <x v="0"/>
    <n v="4"/>
    <n v="697.69"/>
    <n v="-0.23"/>
    <n v="2790.76"/>
    <n v="2037.71"/>
    <n v="753.05"/>
    <s v="Paid"/>
    <x v="0"/>
    <s v="OK"/>
    <s v="OK"/>
    <s v="OK"/>
    <s v="OK"/>
    <n v="6"/>
    <s v="Unique"/>
    <n v="-0.23"/>
    <s v="Invalid: Negative Discount"/>
    <n v="3432.6348000000003"/>
    <x v="21"/>
    <n v="0.40637145553613807"/>
    <x v="10"/>
    <x v="1"/>
    <s v="Invalid"/>
  </r>
  <r>
    <s v="ORD-2025-10023"/>
    <d v="2025-01-19T00:00:00"/>
    <d v="2025-01-21T00:00:00"/>
    <s v="CUST-3588"/>
    <s v="Mira Das"/>
    <x v="0"/>
    <x v="2"/>
    <s v="Telangana"/>
    <s v="Hyderabad"/>
    <x v="0"/>
    <x v="9"/>
    <s v="Max Binders 355"/>
    <x v="3"/>
    <n v="8"/>
    <n v="1219.3399999999999"/>
    <n v="0.15"/>
    <n v="8291.51"/>
    <n v="6685.03"/>
    <n v="1606.48"/>
    <s v="Failed"/>
    <x v="2"/>
    <s v="OK"/>
    <s v="OK"/>
    <s v="OK"/>
    <s v="OK"/>
    <n v="2"/>
    <s v="Unique"/>
    <n v="0.15"/>
    <s v="Valid"/>
    <n v="8291.5119999999988"/>
    <x v="22"/>
    <n v="0.19375018693816029"/>
    <x v="10"/>
    <x v="1"/>
    <s v="Clean"/>
  </r>
  <r>
    <s v="ORD-2025-10024"/>
    <d v="2025-08-29T00:00:00"/>
    <d v="2025-08-31T00:00:00"/>
    <s v="CUST-7098"/>
    <s v="Rahul Verma"/>
    <x v="3"/>
    <x v="1"/>
    <s v="Bihar"/>
    <s v="Patna"/>
    <x v="1"/>
    <x v="10"/>
    <s v="Pro Bookcases 394"/>
    <x v="2"/>
    <n v="4"/>
    <n v="1958.01"/>
    <n v="0.2"/>
    <n v="6265.63"/>
    <n v="4321.8599999999997"/>
    <n v="1943.77"/>
    <s v="Paid"/>
    <x v="0"/>
    <s v="OK"/>
    <s v="OK"/>
    <s v="OK"/>
    <s v="OK"/>
    <n v="2"/>
    <s v="Unique"/>
    <n v="0.2"/>
    <s v="Valid"/>
    <n v="6265.6320000000005"/>
    <x v="23"/>
    <n v="0.31022760353624351"/>
    <x v="1"/>
    <x v="1"/>
    <s v="Clean"/>
  </r>
  <r>
    <s v="ORD-2024-10025"/>
    <d v="2024-03-04T00:00:00"/>
    <d v="2024-03-01T00:00:00"/>
    <s v="CUST-1747"/>
    <s v="Diya Patel"/>
    <x v="0"/>
    <x v="0"/>
    <s v="Punjab"/>
    <s v="Ludhiana"/>
    <x v="0"/>
    <x v="2"/>
    <s v="Max Art 215"/>
    <x v="3"/>
    <n v="4"/>
    <n v="4492.9399999999996"/>
    <n v="0.25"/>
    <n v="13478.82"/>
    <n v="10937.35"/>
    <n v="2541.4699999999998"/>
    <s v="Pending"/>
    <x v="1"/>
    <s v="OK"/>
    <s v="OK"/>
    <s v="OK"/>
    <s v="Invalid: Ship Before Order"/>
    <n v="-3"/>
    <s v="Unique"/>
    <n v="0.25"/>
    <s v="Valid"/>
    <n v="13478.82"/>
    <x v="24"/>
    <n v="0.18855285551702591"/>
    <x v="11"/>
    <x v="0"/>
    <s v="Invalid"/>
  </r>
  <r>
    <s v="ORD-2024-10026"/>
    <d v="2024-10-11T00:00:00"/>
    <d v="2024-10-19T00:00:00"/>
    <s v="CUST-1731"/>
    <s v="Arjun Bose"/>
    <x v="2"/>
    <x v="1"/>
    <s v="Assam"/>
    <s v="Guwahati"/>
    <x v="2"/>
    <x v="5"/>
    <s v="Classic Accessories 478"/>
    <x v="2"/>
    <n v="2"/>
    <n v="4315.2"/>
    <n v="0.15"/>
    <n v="7335.84"/>
    <n v="4968.41"/>
    <n v="2367.4299999999998"/>
    <s v="Paid"/>
    <x v="0"/>
    <s v="OK"/>
    <s v="OK"/>
    <s v="OK"/>
    <s v="OK"/>
    <n v="8"/>
    <s v="Unique"/>
    <n v="0.15"/>
    <s v="Valid"/>
    <n v="7335.8399999999992"/>
    <x v="25"/>
    <n v="0.32272105171323251"/>
    <x v="9"/>
    <x v="0"/>
    <s v="Clean"/>
  </r>
  <r>
    <s v="ORD-2024-10027"/>
    <d v="2024-11-23T00:00:00"/>
    <d v="2024-11-23T00:00:00"/>
    <s v="CUST-4401"/>
    <s v="Diya Patel"/>
    <x v="2"/>
    <x v="0"/>
    <s v="Uttar Pradesh"/>
    <s v="Noida"/>
    <x v="2"/>
    <x v="11"/>
    <s v="Pro Phones 243"/>
    <x v="3"/>
    <n v="4"/>
    <n v="716.13"/>
    <n v="0.1"/>
    <n v="2578.0700000000002"/>
    <n v="1527.55"/>
    <n v="1050.52"/>
    <s v="Paid"/>
    <x v="2"/>
    <s v="OK"/>
    <s v="OK"/>
    <s v="OK"/>
    <s v="OK"/>
    <n v="0"/>
    <s v="Unique"/>
    <n v="0.1"/>
    <s v="Valid"/>
    <n v="2578.0680000000002"/>
    <x v="26"/>
    <n v="0.40748265755596835"/>
    <x v="3"/>
    <x v="0"/>
    <s v="Clean"/>
  </r>
  <r>
    <s v="ORD-2025-10028"/>
    <d v="2025-09-29T00:00:00"/>
    <d v="2025-10-05T00:00:00"/>
    <s v="CUST-9875"/>
    <s v="Arjun Bose"/>
    <x v="1"/>
    <x v="2"/>
    <s v="Karnataka"/>
    <s v="Bengaluru"/>
    <x v="0"/>
    <x v="0"/>
    <s v="Basic Paper 613"/>
    <x v="0"/>
    <n v="5"/>
    <n v="1806.51"/>
    <n v="0.25"/>
    <n v="6774.41"/>
    <n v="4710.3599999999997"/>
    <n v="2064.0500000000002"/>
    <s v="Failed"/>
    <x v="2"/>
    <s v="OK"/>
    <s v="OK"/>
    <s v="OK"/>
    <s v="OK"/>
    <n v="6"/>
    <s v="Unique"/>
    <n v="0.25"/>
    <s v="Valid"/>
    <n v="6774.4124999999995"/>
    <x v="27"/>
    <n v="0.30468361647596748"/>
    <x v="7"/>
    <x v="1"/>
    <s v="Clean"/>
  </r>
  <r>
    <s v="ORD-2024-10029"/>
    <d v="2024-10-11T00:00:00"/>
    <d v="2024-10-18T00:00:00"/>
    <s v="CUST-1569"/>
    <s v="Ananya Rao"/>
    <x v="3"/>
    <x v="3"/>
    <s v="Gujarat"/>
    <s v="Ahmedabad"/>
    <x v="2"/>
    <x v="11"/>
    <s v="Prime Phones 698"/>
    <x v="0"/>
    <n v="2"/>
    <n v="1942.22"/>
    <n v="0.25"/>
    <n v="2913.33"/>
    <n v="2122.33"/>
    <n v="791"/>
    <s v="Refunded"/>
    <x v="1"/>
    <s v="OK"/>
    <s v="OK"/>
    <s v="OK"/>
    <s v="OK"/>
    <n v="7"/>
    <s v="Unique"/>
    <n v="0.25"/>
    <s v="Valid"/>
    <n v="2913.33"/>
    <x v="28"/>
    <n v="0.27151060813570727"/>
    <x v="9"/>
    <x v="0"/>
    <s v="Clean"/>
  </r>
  <r>
    <s v="ORD-2025-10030"/>
    <d v="2025-08-13T00:00:00"/>
    <d v="2025-08-13T00:00:00"/>
    <s v="CUST-5936"/>
    <s v="Rohan Mehta"/>
    <x v="3"/>
    <x v="2"/>
    <s v="Kerala"/>
    <s v="Kochi"/>
    <x v="2"/>
    <x v="11"/>
    <s v="Pro Phones 442"/>
    <x v="3"/>
    <n v="1"/>
    <n v="256.01"/>
    <n v="0.15"/>
    <n v="217.61"/>
    <n v="119.77"/>
    <n v="97.84"/>
    <s v="Paid"/>
    <x v="0"/>
    <s v="OK"/>
    <s v="OK"/>
    <s v="OK"/>
    <s v="OK"/>
    <n v="0"/>
    <s v="Unique"/>
    <n v="0.15"/>
    <s v="Valid"/>
    <n v="217.60849999999999"/>
    <x v="29"/>
    <n v="0.44960789675035673"/>
    <x v="1"/>
    <x v="1"/>
    <s v="Clean"/>
  </r>
  <r>
    <s v="ORD-2024-10031"/>
    <d v="2024-02-09T00:00:00"/>
    <d v="2024-02-12T00:00:00"/>
    <s v="CUST-8759"/>
    <s v="Ananya Rao"/>
    <x v="2"/>
    <x v="3"/>
    <s v="Goa"/>
    <s v="Panaji"/>
    <x v="0"/>
    <x v="7"/>
    <s v="Pro Labels 355"/>
    <x v="2"/>
    <n v="1"/>
    <n v="3421.77"/>
    <n v="0.1"/>
    <n v="3079.59"/>
    <n v="2001.89"/>
    <n v="1077.7"/>
    <s v="Paid"/>
    <x v="0"/>
    <s v="OK"/>
    <s v="OK"/>
    <s v="OK"/>
    <s v="OK"/>
    <n v="3"/>
    <s v="Unique"/>
    <n v="0.1"/>
    <s v="Valid"/>
    <n v="3079.5929999999998"/>
    <x v="30"/>
    <n v="0.34994981479695525"/>
    <x v="6"/>
    <x v="0"/>
    <s v="Clean"/>
  </r>
  <r>
    <s v="ORD-2025-10032"/>
    <d v="2025-06-15T00:00:00"/>
    <d v="2025-06-19T00:00:00"/>
    <s v="CUST-7867"/>
    <s v="Karan Malhotra"/>
    <x v="1"/>
    <x v="3"/>
    <s v="Madhya Pradesh"/>
    <s v="Indore"/>
    <x v="0"/>
    <x v="0"/>
    <s v="Pro Paper 959"/>
    <x v="0"/>
    <n v="9"/>
    <n v="3092.55"/>
    <n v="0"/>
    <n v="27832.95"/>
    <n v="17769.75"/>
    <n v="10063.200000000001"/>
    <s v="Failed"/>
    <x v="2"/>
    <s v="OK"/>
    <s v="OK"/>
    <s v="OK"/>
    <s v="OK"/>
    <n v="4"/>
    <s v="Unique"/>
    <n v="0"/>
    <s v="Valid"/>
    <n v="27832.95"/>
    <x v="31"/>
    <n v="0.36155707533696574"/>
    <x v="2"/>
    <x v="1"/>
    <s v="Clean"/>
  </r>
  <r>
    <s v="ORD-2024-10033"/>
    <d v="2024-11-22T00:00:00"/>
    <d v="2024-11-26T00:00:00"/>
    <s v="CUST-6509"/>
    <s v="Aarav Sharma"/>
    <x v="2"/>
    <x v="2"/>
    <s v="Andhra Pradesh"/>
    <s v="Vijayawada"/>
    <x v="2"/>
    <x v="11"/>
    <s v="Basic Phones 242"/>
    <x v="0"/>
    <n v="3"/>
    <n v="4001.25"/>
    <m/>
    <n v="9002.81"/>
    <n v="7529.92"/>
    <n v="1472.89"/>
    <s v="Paid"/>
    <x v="0"/>
    <s v="OK"/>
    <s v="OK"/>
    <s v="OK"/>
    <s v="OK"/>
    <n v="4"/>
    <s v="Unique"/>
    <n v="0"/>
    <s v="Missing - Treated as 0"/>
    <n v="12003.75"/>
    <x v="32"/>
    <n v="0.37270269707383108"/>
    <x v="3"/>
    <x v="0"/>
    <s v="Warning"/>
  </r>
  <r>
    <s v="ORD-2024-10034"/>
    <d v="2024-07-22T00:00:00"/>
    <d v="2024-07-27T00:00:00"/>
    <s v="CUST-6660"/>
    <s v="Priya Menon"/>
    <x v="3"/>
    <x v="3"/>
    <s v="Goa"/>
    <s v="Panaji"/>
    <x v="1"/>
    <x v="1"/>
    <s v="Max Tables 836"/>
    <x v="1"/>
    <n v="7"/>
    <n v="492.41"/>
    <n v="0.25"/>
    <n v="2585.15"/>
    <n v="2070.73"/>
    <n v="514.41999999999996"/>
    <s v="Paid"/>
    <x v="0"/>
    <s v="OK"/>
    <s v="OK"/>
    <s v="OK"/>
    <s v="OK"/>
    <n v="5"/>
    <s v="Unique"/>
    <n v="0.25"/>
    <s v="Valid"/>
    <n v="2585.1525000000001"/>
    <x v="33"/>
    <n v="0.19899116203009304"/>
    <x v="0"/>
    <x v="0"/>
    <s v="Clean"/>
  </r>
  <r>
    <s v="ORD-2025-10035"/>
    <d v="2025-01-31T00:00:00"/>
    <d v="2025-02-05T00:00:00"/>
    <s v="CUST-2392"/>
    <s v="Priya Menon"/>
    <x v="3"/>
    <x v="1"/>
    <s v="West Bengal"/>
    <s v="Kolkata"/>
    <x v="1"/>
    <x v="4"/>
    <s v="Elite Chairs 862"/>
    <x v="4"/>
    <n v="2"/>
    <n v="4159.6899999999996"/>
    <n v="0.2"/>
    <n v="6655.5"/>
    <n v="4340.21"/>
    <n v="2607.3200000000002"/>
    <s v="Paid"/>
    <x v="0"/>
    <s v="OK"/>
    <s v="OK"/>
    <s v="OK"/>
    <s v="OK"/>
    <n v="5"/>
    <s v="Unique"/>
    <n v="0.2"/>
    <s v="Valid"/>
    <n v="6655.5039999999999"/>
    <x v="34"/>
    <n v="0.34787658455317583"/>
    <x v="10"/>
    <x v="1"/>
    <s v="Warning"/>
  </r>
  <r>
    <s v="ORD-2024-10036"/>
    <d v="2024-05-29T00:00:00"/>
    <d v="2024-05-29T00:00:00"/>
    <s v="CUST-1611"/>
    <s v="Sneha Kapoor"/>
    <x v="1"/>
    <x v="3"/>
    <s v="Gujarat"/>
    <s v="Ahmedabad"/>
    <x v="1"/>
    <x v="10"/>
    <s v="Prime Bookcases 414"/>
    <x v="0"/>
    <n v="8"/>
    <n v="2507.12"/>
    <n v="0.05"/>
    <n v="19054.11"/>
    <n v="15313.83"/>
    <n v="3740.28"/>
    <s v="Pending"/>
    <x v="2"/>
    <s v="OK"/>
    <s v="OK"/>
    <s v="OK"/>
    <s v="OK"/>
    <n v="0"/>
    <s v="Unique"/>
    <n v="0.05"/>
    <s v="Valid"/>
    <n v="19054.111999999997"/>
    <x v="35"/>
    <n v="0.19629789097492437"/>
    <x v="4"/>
    <x v="0"/>
    <s v="Clean"/>
  </r>
  <r>
    <s v="ORD-2024-10037"/>
    <d v="2024-10-25T00:00:00"/>
    <d v="2024-10-28T00:00:00"/>
    <s v="CUST-8296"/>
    <s v="Rohan Mehta"/>
    <x v="2"/>
    <x v="3"/>
    <s v="Maharashtra"/>
    <s v="Mumbai"/>
    <x v="1"/>
    <x v="10"/>
    <s v="Eco Bookcases 220"/>
    <x v="0"/>
    <n v="3"/>
    <n v="3126.47"/>
    <n v="0"/>
    <n v="9379.41"/>
    <n v="6670.85"/>
    <n v="2708.56"/>
    <s v="Paid"/>
    <x v="2"/>
    <s v="OK"/>
    <s v="OK"/>
    <s v="OK"/>
    <s v="OK"/>
    <n v="3"/>
    <s v="Unique"/>
    <n v="0"/>
    <s v="Valid"/>
    <n v="9379.41"/>
    <x v="36"/>
    <n v="0.28877722585962223"/>
    <x v="9"/>
    <x v="0"/>
    <s v="Clean"/>
  </r>
  <r>
    <s v="ORD-2025-10038"/>
    <d v="2025-07-29T00:00:00"/>
    <d v="2025-07-29T00:00:00"/>
    <s v="CUST-4646"/>
    <s v="Diya Patel"/>
    <x v="0"/>
    <x v="3"/>
    <s v="Maharashtra"/>
    <s v="Mumbai"/>
    <x v="2"/>
    <x v="6"/>
    <s v="Pro Copiers 830"/>
    <x v="3"/>
    <n v="4"/>
    <n v="1327.54"/>
    <n v="0.2"/>
    <n v="4248.13"/>
    <n v="3321.09"/>
    <n v="927.04"/>
    <s v="Paid"/>
    <x v="0"/>
    <s v="OK"/>
    <s v="OK"/>
    <s v="OK"/>
    <s v="OK"/>
    <n v="0"/>
    <s v="Unique"/>
    <n v="0.2"/>
    <s v="Valid"/>
    <n v="4248.1279999999997"/>
    <x v="37"/>
    <n v="0.21822270892025844"/>
    <x v="0"/>
    <x v="1"/>
    <s v="Clean"/>
  </r>
  <r>
    <s v="ORD-2024-10039"/>
    <d v="2024-06-17T00:00:00"/>
    <d v="2024-06-22T00:00:00"/>
    <s v="CUST-8235"/>
    <s v="Aarav Sharma"/>
    <x v="2"/>
    <x v="3"/>
    <s v="Gujarat"/>
    <s v="Ahmedabad"/>
    <x v="2"/>
    <x v="11"/>
    <s v="Prime Phones 507"/>
    <x v="2"/>
    <n v="7"/>
    <n v="2210.6799999999998"/>
    <n v="0.1"/>
    <n v="13927.28"/>
    <n v="10504.87"/>
    <n v="3422.41"/>
    <s v="Paid"/>
    <x v="0"/>
    <s v="OK"/>
    <s v="OK"/>
    <s v="OK"/>
    <s v="OK"/>
    <n v="5"/>
    <s v="Unique"/>
    <n v="0.1"/>
    <s v="Valid"/>
    <n v="13927.284"/>
    <x v="38"/>
    <n v="0.24573448778670692"/>
    <x v="2"/>
    <x v="0"/>
    <s v="Clean"/>
  </r>
  <r>
    <s v="ORD-2024-10040"/>
    <d v="2024-12-11T00:00:00"/>
    <d v="2024-12-11T00:00:00"/>
    <s v="CUST-5830"/>
    <s v="Mira Das"/>
    <x v="1"/>
    <x v="3"/>
    <s v="Madhya Pradesh"/>
    <s v="Indore"/>
    <x v="2"/>
    <x v="6"/>
    <s v="Classic Copiers 590"/>
    <x v="2"/>
    <n v="4"/>
    <n v="1370.92"/>
    <n v="0.1"/>
    <n v="4935.3100000000004"/>
    <n v="3374.77"/>
    <n v="1560.54"/>
    <s v="Pending"/>
    <x v="2"/>
    <s v="OK"/>
    <s v="OK"/>
    <s v="OK"/>
    <s v="OK"/>
    <n v="0"/>
    <s v="Unique"/>
    <n v="0.1"/>
    <s v="Valid"/>
    <n v="4935.3120000000008"/>
    <x v="39"/>
    <n v="0.31619925954022776"/>
    <x v="8"/>
    <x v="0"/>
    <s v="Clean"/>
  </r>
  <r>
    <s v="ORD-2024-10041"/>
    <d v="2024-10-10T00:00:00"/>
    <d v="2024-10-16T00:00:00"/>
    <s v="CUST-7178"/>
    <s v="Isha Nair"/>
    <x v="3"/>
    <x v="3"/>
    <s v="Rajasthan"/>
    <s v="Udaipur"/>
    <x v="2"/>
    <x v="6"/>
    <s v="Eco Copiers 865"/>
    <x v="3"/>
    <n v="7"/>
    <n v="2509.27"/>
    <n v="0.2"/>
    <n v="14051.91"/>
    <n v="11990.37"/>
    <n v="2061.54"/>
    <s v="Paid"/>
    <x v="0"/>
    <s v="OK"/>
    <s v="OK"/>
    <s v="OK"/>
    <s v="OK"/>
    <n v="6"/>
    <s v="Unique"/>
    <n v="0.2"/>
    <s v="Valid"/>
    <n v="14051.912"/>
    <x v="40"/>
    <n v="0.14670900301681361"/>
    <x v="9"/>
    <x v="0"/>
    <s v="Clean"/>
  </r>
  <r>
    <s v="ORD-2024-10042"/>
    <d v="2024-03-12T00:00:00"/>
    <d v="2024-03-17T00:00:00"/>
    <s v="CUST-3829"/>
    <s v="Aarav Sharma"/>
    <x v="1"/>
    <x v="1"/>
    <s v="Odisha"/>
    <s v="Bhubaneswar"/>
    <x v="1"/>
    <x v="10"/>
    <s v="Classic Bookcases 835"/>
    <x v="1"/>
    <n v="8"/>
    <n v="855.81"/>
    <n v="0"/>
    <n v="6846.48"/>
    <n v="4239.8900000000003"/>
    <n v="2606.59"/>
    <s v="Pending"/>
    <x v="1"/>
    <s v="OK"/>
    <s v="OK"/>
    <s v="OK"/>
    <s v="OK"/>
    <n v="5"/>
    <s v="Unique"/>
    <n v="0"/>
    <s v="Valid"/>
    <n v="6846.48"/>
    <x v="41"/>
    <n v="0.38071972750961069"/>
    <x v="11"/>
    <x v="0"/>
    <s v="Clean"/>
  </r>
  <r>
    <s v="ORD-2025-10043"/>
    <d v="2025-10-10T00:00:00"/>
    <d v="2025-10-15T00:00:00"/>
    <s v="CUST-6708"/>
    <s v="Arjun Bose"/>
    <x v="2"/>
    <x v="1"/>
    <s v="Jharkhand"/>
    <s v="Ranchi"/>
    <x v="2"/>
    <x v="11"/>
    <s v="Eco Phones 702"/>
    <x v="3"/>
    <n v="8"/>
    <n v="979.87"/>
    <n v="0.05"/>
    <n v="7447.01"/>
    <n v="4496.22"/>
    <n v="2950.79"/>
    <s v="Paid"/>
    <x v="0"/>
    <s v="OK"/>
    <s v="OK"/>
    <s v="OK"/>
    <s v="OK"/>
    <n v="5"/>
    <s v="Unique"/>
    <n v="0.05"/>
    <s v="Valid"/>
    <n v="7447.0119999999997"/>
    <x v="42"/>
    <n v="0.39623838393170302"/>
    <x v="9"/>
    <x v="1"/>
    <s v="Clean"/>
  </r>
  <r>
    <s v="ORD-2024-10044"/>
    <d v="2024-07-08T00:00:00"/>
    <d v="2024-07-14T00:00:00"/>
    <s v="CUST-7119"/>
    <s v="Priya Menon"/>
    <x v="1"/>
    <x v="1"/>
    <s v="Odisha"/>
    <s v="Bhubaneswar"/>
    <x v="1"/>
    <x v="3"/>
    <s v="Smart Furnishings 956"/>
    <x v="1"/>
    <n v="3"/>
    <n v="1010.23"/>
    <n v="0"/>
    <n v="3030.69"/>
    <n v="1721.08"/>
    <n v="1309.6099999999999"/>
    <s v="Paid"/>
    <x v="0"/>
    <s v="OK"/>
    <s v="OK"/>
    <s v="OK"/>
    <s v="OK"/>
    <n v="6"/>
    <s v="Unique"/>
    <n v="0"/>
    <s v="Valid"/>
    <n v="3030.69"/>
    <x v="43"/>
    <n v="0.43211611877163292"/>
    <x v="0"/>
    <x v="0"/>
    <s v="Clean"/>
  </r>
  <r>
    <s v="ORD-2024-10045"/>
    <d v="2024-06-22T00:00:00"/>
    <d v="2024-06-25T00:00:00"/>
    <s v="CUST-3373"/>
    <s v="Rohan Mehta"/>
    <x v="1"/>
    <x v="0"/>
    <s v="Haryana"/>
    <s v="Gurugram"/>
    <x v="1"/>
    <x v="4"/>
    <s v="Max Chairs 393"/>
    <x v="3"/>
    <n v="9"/>
    <n v="3329.77"/>
    <n v="0.1"/>
    <n v="26971.14"/>
    <n v="17376.2"/>
    <n v="9594.94"/>
    <s v="Paid"/>
    <x v="0"/>
    <s v="OK"/>
    <s v="OK"/>
    <s v="OK"/>
    <s v="OK"/>
    <n v="3"/>
    <s v="Unique"/>
    <n v="0.1"/>
    <s v="Valid"/>
    <n v="26971.137000000002"/>
    <x v="44"/>
    <n v="0.35574833200394929"/>
    <x v="2"/>
    <x v="0"/>
    <s v="Clean"/>
  </r>
  <r>
    <s v="ORD-2024-10046"/>
    <d v="2024-01-18T00:00:00"/>
    <d v="2024-01-24T00:00:00"/>
    <s v="CUST-8896"/>
    <s v="Isha Nair"/>
    <x v="3"/>
    <x v="1"/>
    <s v="Bihar"/>
    <s v="Patna"/>
    <x v="0"/>
    <x v="2"/>
    <s v="Prime Art 221"/>
    <x v="0"/>
    <n v="8"/>
    <n v="3927.82"/>
    <n v="0.05"/>
    <n v="29851.43"/>
    <n v="17487.48"/>
    <n v="12363.95"/>
    <s v="Pending"/>
    <x v="2"/>
    <s v="OK"/>
    <s v="OK"/>
    <s v="OK"/>
    <s v="OK"/>
    <n v="6"/>
    <s v="Unique"/>
    <n v="0.05"/>
    <s v="Valid"/>
    <n v="29851.432000000001"/>
    <x v="45"/>
    <n v="0.41418287739094062"/>
    <x v="10"/>
    <x v="0"/>
    <s v="Clean"/>
  </r>
  <r>
    <s v="ORD-2024-10047"/>
    <d v="2024-07-19T00:00:00"/>
    <d v="2024-07-19T00:00:00"/>
    <s v="CUST-8517"/>
    <s v="Ananya Rao"/>
    <x v="1"/>
    <x v="2"/>
    <s v="Kerala"/>
    <s v="Kochi"/>
    <x v="1"/>
    <x v="10"/>
    <s v="Elite Bookcases 671"/>
    <x v="3"/>
    <n v="9"/>
    <n v="2386.79"/>
    <n v="0.25"/>
    <n v="16110.83"/>
    <n v="10680.03"/>
    <n v="5430.8"/>
    <s v="Refunded"/>
    <x v="2"/>
    <s v="OK"/>
    <s v="OK"/>
    <s v="OK"/>
    <s v="OK"/>
    <n v="0"/>
    <s v="Unique"/>
    <n v="0.25"/>
    <s v="Valid"/>
    <n v="16110.8325"/>
    <x v="46"/>
    <n v="0.33709012243780695"/>
    <x v="0"/>
    <x v="0"/>
    <s v="Clean"/>
  </r>
  <r>
    <s v="ORD-2024-10048"/>
    <d v="2024-08-12T00:00:00"/>
    <d v="2024-08-12T00:00:00"/>
    <s v="CUST-1987"/>
    <s v="Rahul Verma"/>
    <x v="2"/>
    <x v="2"/>
    <s v="Tamil Nadu"/>
    <s v="Chennai"/>
    <x v="0"/>
    <x v="8"/>
    <s v="Max Storage 432"/>
    <x v="3"/>
    <n v="8"/>
    <n v="2445.31"/>
    <n v="0.1"/>
    <n v="17606.23"/>
    <n v="12438.96"/>
    <n v="5167.2700000000004"/>
    <s v="Paid"/>
    <x v="0"/>
    <s v="OK"/>
    <s v="OK"/>
    <s v="OK"/>
    <s v="OK"/>
    <n v="0"/>
    <s v="Unique"/>
    <n v="0.1"/>
    <s v="Valid"/>
    <n v="17606.232"/>
    <x v="47"/>
    <n v="0.29349107747756592"/>
    <x v="1"/>
    <x v="0"/>
    <s v="Clean"/>
  </r>
  <r>
    <s v="ORD-2025-10049"/>
    <d v="2025-01-30T00:00:00"/>
    <d v="2025-02-05T00:00:00"/>
    <s v="CUST-8183"/>
    <s v="Neha Gupta"/>
    <x v="2"/>
    <x v="3"/>
    <s v="Maharashtra"/>
    <s v="Mumbai"/>
    <x v="1"/>
    <x v="4"/>
    <s v="Basic Chairs 837"/>
    <x v="0"/>
    <n v="7"/>
    <n v="4063.66"/>
    <n v="0"/>
    <n v="28445.62"/>
    <n v="20938.59"/>
    <n v="7507.03"/>
    <s v="Paid"/>
    <x v="0"/>
    <s v="OK"/>
    <s v="OK"/>
    <s v="OK"/>
    <s v="OK"/>
    <n v="6"/>
    <s v="Unique"/>
    <n v="0"/>
    <s v="Valid"/>
    <n v="28445.62"/>
    <x v="48"/>
    <n v="0.26390811660986818"/>
    <x v="10"/>
    <x v="1"/>
    <s v="Clean"/>
  </r>
  <r>
    <s v="ORD-2024-10050"/>
    <d v="2024-04-06T00:00:00"/>
    <d v="2024-04-13T00:00:00"/>
    <s v="CUST-2380"/>
    <s v="Aarav Sharma"/>
    <x v="3"/>
    <x v="0"/>
    <s v="Uttar Pradesh"/>
    <s v="Noida"/>
    <x v="2"/>
    <x v="6"/>
    <s v="Classic Copiers 295"/>
    <x v="0"/>
    <n v="9"/>
    <n v="792.11"/>
    <n v="0.05"/>
    <n v="6772.54"/>
    <n v="5755.46"/>
    <n v="1017.08"/>
    <s v="Paid"/>
    <x v="0"/>
    <s v="OK"/>
    <s v="OK"/>
    <s v="OK"/>
    <s v="OK"/>
    <n v="7"/>
    <s v="Unique"/>
    <n v="0.05"/>
    <s v="Valid"/>
    <n v="6772.5404999999992"/>
    <x v="49"/>
    <n v="0.15017710119267641"/>
    <x v="5"/>
    <x v="0"/>
    <s v="Clean"/>
  </r>
  <r>
    <s v="ORD-2025-10051"/>
    <d v="2025-05-11T00:00:00"/>
    <d v="2025-05-19T00:00:00"/>
    <s v="CUST-8787"/>
    <s v="Sneha Kapoor"/>
    <x v="0"/>
    <x v="1"/>
    <s v="West Bengal"/>
    <s v="Kolkata"/>
    <x v="2"/>
    <x v="6"/>
    <s v="Pro Copiers 963"/>
    <x v="3"/>
    <n v="1"/>
    <n v="2382.8000000000002"/>
    <n v="0.15"/>
    <n v="2025.38"/>
    <n v="1140.6500000000001"/>
    <n v="884.73"/>
    <s v="Paid"/>
    <x v="0"/>
    <s v="OK"/>
    <s v="OK"/>
    <s v="OK"/>
    <s v="OK"/>
    <n v="8"/>
    <s v="Unique"/>
    <n v="0.15"/>
    <s v="Valid"/>
    <n v="2025.38"/>
    <x v="50"/>
    <n v="0.43682173221815163"/>
    <x v="4"/>
    <x v="1"/>
    <s v="Clean"/>
  </r>
  <r>
    <s v="ORD-2024-10052"/>
    <d v="2024-04-24T00:00:00"/>
    <d v="2024-04-29T00:00:00"/>
    <s v="CUST-3557"/>
    <s v="Ananya Rao"/>
    <x v="2"/>
    <x v="2"/>
    <s v="Telangana"/>
    <s v="Hyderabad"/>
    <x v="0"/>
    <x v="2"/>
    <s v="Pro Art 907"/>
    <x v="3"/>
    <n v="6"/>
    <n v="1528.08"/>
    <n v="0"/>
    <n v="9168.48"/>
    <n v="7439.77"/>
    <n v="1728.71"/>
    <s v="Paid"/>
    <x v="0"/>
    <s v="OK"/>
    <s v="OK"/>
    <s v="OK"/>
    <s v="OK"/>
    <n v="5"/>
    <s v="Unique"/>
    <n v="0"/>
    <s v="Valid"/>
    <n v="9168.48"/>
    <x v="51"/>
    <n v="0.18854924698532355"/>
    <x v="5"/>
    <x v="0"/>
    <s v="Clean"/>
  </r>
  <r>
    <s v="ORD-2024-10053"/>
    <d v="2024-10-26T00:00:00"/>
    <d v="2024-10-28T00:00:00"/>
    <s v="CUST-2778"/>
    <s v="Kabir Singh"/>
    <x v="1"/>
    <x v="0"/>
    <s v="Rajasthan"/>
    <s v="Jaipur"/>
    <x v="1"/>
    <x v="4"/>
    <s v="Pro Chairs 526"/>
    <x v="2"/>
    <n v="9"/>
    <n v="1399.63"/>
    <n v="0"/>
    <n v="12596.67"/>
    <n v="10603.29"/>
    <n v="1993.38"/>
    <s v="Failed"/>
    <x v="1"/>
    <s v="OK"/>
    <s v="OK"/>
    <s v="OK"/>
    <s v="OK"/>
    <n v="2"/>
    <s v="Unique"/>
    <n v="0"/>
    <s v="Valid"/>
    <n v="12596.670000000002"/>
    <x v="52"/>
    <n v="0.15824658421630483"/>
    <x v="9"/>
    <x v="0"/>
    <s v="Clean"/>
  </r>
  <r>
    <s v="ORD-2025-10054"/>
    <d v="2025-03-31T00:00:00"/>
    <d v="2025-03-31T00:00:00"/>
    <s v="CUST-7195"/>
    <s v="Kabir Singh"/>
    <x v="3"/>
    <x v="3"/>
    <s v="Gujarat"/>
    <s v="Ahmedabad"/>
    <x v="0"/>
    <x v="8"/>
    <s v="Elite Storage 924"/>
    <x v="2"/>
    <n v="5"/>
    <n v="1207.47"/>
    <n v="0.15"/>
    <n v="5131.75"/>
    <n v="2838.68"/>
    <n v="2293.0700000000002"/>
    <s v="Paid"/>
    <x v="0"/>
    <s v="OK"/>
    <s v="OK"/>
    <s v="OK"/>
    <s v="OK"/>
    <n v="0"/>
    <s v="Unique"/>
    <n v="0.15"/>
    <s v="Valid"/>
    <n v="5131.7475000000004"/>
    <x v="53"/>
    <n v="0.44683950252813498"/>
    <x v="11"/>
    <x v="1"/>
    <s v="Clean"/>
  </r>
  <r>
    <s v="ORD-2025-10055"/>
    <d v="2025-05-30T00:00:00"/>
    <d v="2025-06-02T00:00:00"/>
    <s v="CUST-9039"/>
    <s v="Arjun Bose"/>
    <x v="2"/>
    <x v="2"/>
    <s v="Tamil Nadu"/>
    <s v="Chennai"/>
    <x v="0"/>
    <x v="7"/>
    <s v="Pro Labels 957"/>
    <x v="1"/>
    <n v="8"/>
    <n v="474.37"/>
    <n v="0.1"/>
    <n v="3415.46"/>
    <n v="1993.23"/>
    <n v="1422.23"/>
    <s v="Failed"/>
    <x v="1"/>
    <s v="OK"/>
    <s v="OK"/>
    <s v="OK"/>
    <s v="OK"/>
    <n v="3"/>
    <s v="Unique"/>
    <n v="0.1"/>
    <s v="Valid"/>
    <n v="3415.4639999999999"/>
    <x v="54"/>
    <n v="0.4164101861416194"/>
    <x v="4"/>
    <x v="1"/>
    <s v="Clean"/>
  </r>
  <r>
    <s v="ORD-2025-10056"/>
    <d v="2025-07-01T00:00:00"/>
    <d v="2025-07-03T00:00:00"/>
    <s v="CUST-9821"/>
    <s v="Mira Das"/>
    <x v="1"/>
    <x v="2"/>
    <s v="Andhra Pradesh"/>
    <s v="Vijayawada"/>
    <x v="2"/>
    <x v="12"/>
    <s v="Classic Machines 310"/>
    <x v="1"/>
    <n v="3"/>
    <n v="1516.24"/>
    <n v="0.25"/>
    <n v="3411.54"/>
    <n v="2803.13"/>
    <n v="608.41"/>
    <s v="Paid"/>
    <x v="0"/>
    <s v="OK"/>
    <s v="OK"/>
    <s v="OK"/>
    <s v="OK"/>
    <n v="2"/>
    <s v="Unique"/>
    <n v="0.25"/>
    <s v="Valid"/>
    <n v="3411.54"/>
    <x v="55"/>
    <n v="0.17833881472883209"/>
    <x v="0"/>
    <x v="1"/>
    <s v="Clean"/>
  </r>
  <r>
    <s v="ORD-2025-10057"/>
    <d v="2025-01-05T00:00:00"/>
    <d v="2025-01-06T00:00:00"/>
    <s v="CUST-8701"/>
    <s v="Karan Malhotra"/>
    <x v="0"/>
    <x v="2"/>
    <s v="Karnataka"/>
    <s v="Bengaluru"/>
    <x v="0"/>
    <x v="9"/>
    <s v="Smart Binders 393"/>
    <x v="0"/>
    <n v="3"/>
    <n v="3155.61"/>
    <n v="0"/>
    <n v="9466.83"/>
    <n v="6557.83"/>
    <n v="2909"/>
    <s v="Refunded"/>
    <x v="1"/>
    <s v="OK"/>
    <s v="OK"/>
    <s v="OK"/>
    <s v="OK"/>
    <n v="1"/>
    <s v="Unique"/>
    <n v="0"/>
    <s v="Valid"/>
    <n v="9466.83"/>
    <x v="56"/>
    <n v="0.30728343067320318"/>
    <x v="10"/>
    <x v="1"/>
    <s v="Clean"/>
  </r>
  <r>
    <s v="ORD-2024-10058"/>
    <d v="2024-02-07T00:00:00"/>
    <d v="2024-02-15T00:00:00"/>
    <s v="CUST-9941"/>
    <s v="Priya Menon"/>
    <x v="0"/>
    <x v="3"/>
    <s v="Goa"/>
    <s v="Panaji"/>
    <x v="1"/>
    <x v="4"/>
    <s v="Max Chairs 813"/>
    <x v="1"/>
    <n v="5"/>
    <n v="255.87"/>
    <n v="0"/>
    <n v="1279.3499999999999"/>
    <n v="1091.54"/>
    <n v="187.81"/>
    <s v="Paid"/>
    <x v="0"/>
    <s v="OK"/>
    <s v="OK"/>
    <s v="OK"/>
    <s v="OK"/>
    <n v="8"/>
    <s v="Unique"/>
    <n v="0"/>
    <s v="Valid"/>
    <n v="1279.3499999999999"/>
    <x v="57"/>
    <n v="0.14680110993864068"/>
    <x v="6"/>
    <x v="0"/>
    <s v="Clean"/>
  </r>
  <r>
    <s v="ORD-2024-10059"/>
    <d v="2024-09-01T00:00:00"/>
    <d v="2024-09-07T00:00:00"/>
    <s v="CUST-3983"/>
    <s v="Isha Nair"/>
    <x v="3"/>
    <x v="0"/>
    <s v="Rajasthan"/>
    <s v="Jaipur"/>
    <x v="0"/>
    <x v="8"/>
    <s v="Basic Storage 872"/>
    <x v="4"/>
    <n v="9"/>
    <n v="1389.48"/>
    <n v="0.1"/>
    <n v="11254.79"/>
    <n v="6578.06"/>
    <n v="4676.7299999999996"/>
    <s v="Pending"/>
    <x v="2"/>
    <s v="OK"/>
    <s v="OK"/>
    <s v="OK"/>
    <s v="OK"/>
    <n v="6"/>
    <s v="Unique"/>
    <n v="0.1"/>
    <s v="Valid"/>
    <n v="11254.788"/>
    <x v="58"/>
    <n v="0.41553230500654476"/>
    <x v="7"/>
    <x v="0"/>
    <s v="Warning"/>
  </r>
  <r>
    <s v="ORD-2024-10060"/>
    <d v="2024-07-20T00:00:00"/>
    <d v="2024-07-25T00:00:00"/>
    <s v="CUST-2418"/>
    <s v="Priya Menon"/>
    <x v="2"/>
    <x v="1"/>
    <s v="Assam"/>
    <s v="Guwahati"/>
    <x v="0"/>
    <x v="7"/>
    <s v="Smart Labels 655"/>
    <x v="1"/>
    <n v="5"/>
    <n v="4133.8500000000004"/>
    <n v="0.2"/>
    <n v="16535.400000000001"/>
    <n v="12990.21"/>
    <n v="3545.19"/>
    <s v="Paid"/>
    <x v="1"/>
    <s v="OK"/>
    <s v="OK"/>
    <s v="OK"/>
    <s v="OK"/>
    <n v="5"/>
    <s v="Unique"/>
    <n v="0.2"/>
    <s v="Valid"/>
    <n v="16535.400000000001"/>
    <x v="59"/>
    <n v="0.21440001451431487"/>
    <x v="0"/>
    <x v="0"/>
    <s v="Clean"/>
  </r>
  <r>
    <s v="ORD-2024-10061"/>
    <d v="2024-07-13T00:00:00"/>
    <d v="2024-07-19T00:00:00"/>
    <s v="CUST-2892"/>
    <s v="Ananya Rao"/>
    <x v="2"/>
    <x v="1"/>
    <s v="Assam"/>
    <s v="Guwahati"/>
    <x v="0"/>
    <x v="7"/>
    <s v="Eco Labels 210"/>
    <x v="1"/>
    <n v="3"/>
    <n v="275.76"/>
    <n v="0.2"/>
    <n v="661.82"/>
    <n v="481.47"/>
    <n v="180.35"/>
    <s v="Refunded"/>
    <x v="1"/>
    <s v="OK"/>
    <s v="OK"/>
    <s v="OK"/>
    <s v="OK"/>
    <n v="6"/>
    <s v="Unique"/>
    <n v="0.2"/>
    <s v="Valid"/>
    <n v="661.82400000000007"/>
    <x v="60"/>
    <n v="0.27251051639106472"/>
    <x v="0"/>
    <x v="0"/>
    <s v="Clean"/>
  </r>
  <r>
    <s v="ORD-2024-10062"/>
    <d v="2024-04-16T00:00:00"/>
    <d v="2024-04-16T00:00:00"/>
    <s v="CUST-7008"/>
    <s v="Vikram Iyer"/>
    <x v="3"/>
    <x v="1"/>
    <s v="Bihar"/>
    <s v="Patna"/>
    <x v="1"/>
    <x v="10"/>
    <s v="Classic Bookcases 296"/>
    <x v="3"/>
    <n v="1"/>
    <n v="949.59"/>
    <n v="0"/>
    <n v="949.59"/>
    <n v="751.25"/>
    <n v="198.34"/>
    <s v="Paid"/>
    <x v="0"/>
    <s v="OK"/>
    <s v="OK"/>
    <s v="OK"/>
    <s v="OK"/>
    <n v="0"/>
    <s v="Unique"/>
    <n v="0"/>
    <s v="Valid"/>
    <n v="949.59"/>
    <x v="61"/>
    <n v="0.20886909087079689"/>
    <x v="5"/>
    <x v="0"/>
    <s v="Clean"/>
  </r>
  <r>
    <s v="ORD-2024-10063"/>
    <d v="2024-10-30T00:00:00"/>
    <d v="2024-11-02T00:00:00"/>
    <s v="CUST-4900"/>
    <s v="Sneha Kapoor"/>
    <x v="3"/>
    <x v="0"/>
    <s v="Rajasthan"/>
    <s v="Jaipur"/>
    <x v="2"/>
    <x v="11"/>
    <s v="Basic Phones 230"/>
    <x v="3"/>
    <n v="9"/>
    <n v="3042.29"/>
    <n v="0.2"/>
    <n v="21904.49"/>
    <n v="13570.55"/>
    <n v="8333.94"/>
    <s v="Paid"/>
    <x v="0"/>
    <s v="OK"/>
    <s v="OK"/>
    <s v="OK"/>
    <s v="OK"/>
    <n v="3"/>
    <s v="Unique"/>
    <n v="0.2"/>
    <s v="Valid"/>
    <n v="21904.488000000001"/>
    <x v="62"/>
    <n v="0.38046714445003244"/>
    <x v="9"/>
    <x v="0"/>
    <s v="Clean"/>
  </r>
  <r>
    <s v="ORD-2024-10064"/>
    <d v="2024-01-25T00:00:00"/>
    <d v="2024-02-01T00:00:00"/>
    <s v="CUST-5382"/>
    <s v="Sneha Kapoor"/>
    <x v="3"/>
    <x v="0"/>
    <s v="Haryana"/>
    <s v="Gurugram"/>
    <x v="0"/>
    <x v="9"/>
    <s v="Pro Binders 690"/>
    <x v="1"/>
    <n v="2"/>
    <n v="2832.77"/>
    <n v="0.15"/>
    <n v="4815.71"/>
    <n v="3027.75"/>
    <n v="1917.47"/>
    <s v="Paid"/>
    <x v="0"/>
    <s v="OK"/>
    <s v="OK"/>
    <s v="OK"/>
    <s v="OK"/>
    <n v="7"/>
    <s v="Unique"/>
    <n v="0.15"/>
    <s v="Valid"/>
    <n v="4815.7089999999998"/>
    <x v="63"/>
    <n v="0.37127637903369992"/>
    <x v="10"/>
    <x v="0"/>
    <s v="Clean"/>
  </r>
  <r>
    <s v="ORD-2024-10065"/>
    <d v="2024-12-23T00:00:00"/>
    <d v="2024-12-29T00:00:00"/>
    <s v="CUST-2749"/>
    <s v="Aarav Sharma"/>
    <x v="2"/>
    <x v="1"/>
    <s v="Jharkhand"/>
    <s v="Ranchi"/>
    <x v="0"/>
    <x v="0"/>
    <s v="Classic Paper 458"/>
    <x v="2"/>
    <n v="7"/>
    <n v="447.84"/>
    <n v="0"/>
    <n v="3134.88"/>
    <n v="2367.63"/>
    <n v="767.25"/>
    <s v="Refunded"/>
    <x v="2"/>
    <s v="OK"/>
    <s v="OK"/>
    <s v="OK"/>
    <s v="OK"/>
    <n v="6"/>
    <s v="Unique"/>
    <n v="0"/>
    <s v="Valid"/>
    <n v="3134.8799999999997"/>
    <x v="64"/>
    <n v="0.24474621038125849"/>
    <x v="8"/>
    <x v="0"/>
    <s v="Clean"/>
  </r>
  <r>
    <s v="ORD-2024-10066"/>
    <d v="2024-04-22T00:00:00"/>
    <d v="2024-04-27T00:00:00"/>
    <s v="CUST-2463"/>
    <s v="Mira Das"/>
    <x v="3"/>
    <x v="3"/>
    <s v="Maharashtra"/>
    <s v="Mumbai"/>
    <x v="0"/>
    <x v="0"/>
    <s v="Pro Paper 552"/>
    <x v="0"/>
    <n v="1"/>
    <n v="4280.1899999999996"/>
    <n v="0.05"/>
    <n v="4066.18"/>
    <n v="2628.92"/>
    <n v="1437.26"/>
    <s v="Paid"/>
    <x v="0"/>
    <s v="OK"/>
    <s v="OK"/>
    <s v="OK"/>
    <s v="OK"/>
    <n v="5"/>
    <s v="Unique"/>
    <n v="0.05"/>
    <s v="Valid"/>
    <n v="4066.1804999999995"/>
    <x v="65"/>
    <n v="0.35346696980126674"/>
    <x v="5"/>
    <x v="0"/>
    <s v="Clean"/>
  </r>
  <r>
    <s v="ORD-2025-10067"/>
    <d v="2025-08-28T00:00:00"/>
    <d v="2025-09-01T00:00:00"/>
    <s v="CUST-1504"/>
    <s v="Karan Malhotra"/>
    <x v="1"/>
    <x v="2"/>
    <s v="Tamil Nadu"/>
    <s v="Chennai"/>
    <x v="2"/>
    <x v="5"/>
    <s v="Elite Accessories 187"/>
    <x v="1"/>
    <n v="7"/>
    <n v="1057.46"/>
    <n v="0.05"/>
    <n v="7032.11"/>
    <n v="4610.34"/>
    <n v="2421.77"/>
    <s v="Paid"/>
    <x v="0"/>
    <s v="OK"/>
    <s v="OK"/>
    <s v="OK"/>
    <s v="OK"/>
    <n v="4"/>
    <s v="Unique"/>
    <n v="0.05"/>
    <s v="Valid"/>
    <n v="7032.1089999999995"/>
    <x v="66"/>
    <n v="0.34438729547565311"/>
    <x v="1"/>
    <x v="1"/>
    <s v="Clean"/>
  </r>
  <r>
    <s v="ORD-2025-10068"/>
    <d v="2025-02-03T00:00:00"/>
    <d v="2025-02-07T00:00:00"/>
    <s v="CUST-8282"/>
    <s v="Kabir Singh"/>
    <x v="0"/>
    <x v="0"/>
    <s v="Haryana"/>
    <s v="Gurugram"/>
    <x v="0"/>
    <x v="0"/>
    <s v="Eco Paper 922"/>
    <x v="2"/>
    <n v="7"/>
    <n v="3609.34"/>
    <n v="0.05"/>
    <n v="24002.11"/>
    <n v="18707.57"/>
    <n v="5294.54"/>
    <s v="Paid"/>
    <x v="0"/>
    <s v="OK"/>
    <s v="OK"/>
    <s v="OK"/>
    <s v="OK"/>
    <n v="4"/>
    <s v="Unique"/>
    <n v="0.05"/>
    <s v="Valid"/>
    <n v="24002.111000000001"/>
    <x v="67"/>
    <n v="0.2205864725815159"/>
    <x v="6"/>
    <x v="1"/>
    <s v="Clean"/>
  </r>
  <r>
    <s v="ORD-2024-10069"/>
    <d v="2024-11-10T00:00:00"/>
    <d v="2024-11-13T00:00:00"/>
    <s v="CUST-6054"/>
    <s v="Isha Nair"/>
    <x v="2"/>
    <x v="1"/>
    <s v="Jharkhand"/>
    <s v="Ranchi"/>
    <x v="0"/>
    <x v="8"/>
    <s v="Pro Storage 975"/>
    <x v="0"/>
    <n v="9"/>
    <n v="2211.12"/>
    <n v="0"/>
    <n v="19900.080000000002"/>
    <n v="10962.66"/>
    <n v="8937.42"/>
    <s v="Failed"/>
    <x v="2"/>
    <s v="OK"/>
    <s v="OK"/>
    <s v="OK"/>
    <s v="OK"/>
    <n v="3"/>
    <s v="Unique"/>
    <n v="0"/>
    <s v="Valid"/>
    <n v="19900.079999999998"/>
    <x v="68"/>
    <n v="0.44911477742803041"/>
    <x v="3"/>
    <x v="0"/>
    <s v="Clean"/>
  </r>
  <r>
    <s v="ORD-2024-10070"/>
    <d v="2024-04-09T00:00:00"/>
    <d v="2024-04-14T00:00:00"/>
    <s v="CUST-5979"/>
    <s v="Neha Gupta"/>
    <x v="1"/>
    <x v="3"/>
    <s v="Gujarat"/>
    <s v="Ahmedabad"/>
    <x v="2"/>
    <x v="12"/>
    <s v="Prime Machines 782"/>
    <x v="1"/>
    <n v="7"/>
    <n v="3417.09"/>
    <n v="0.1"/>
    <n v="21527.67"/>
    <n v="18287.580000000002"/>
    <n v="3240.09"/>
    <s v="Refunded"/>
    <x v="2"/>
    <s v="OK"/>
    <s v="OK"/>
    <s v="OK"/>
    <s v="OK"/>
    <n v="5"/>
    <s v="Unique"/>
    <n v="0.1"/>
    <s v="Valid"/>
    <n v="21527.667000000001"/>
    <x v="69"/>
    <n v="0.15050804158202555"/>
    <x v="5"/>
    <x v="0"/>
    <s v="Clean"/>
  </r>
  <r>
    <s v="ORD-2025-10071"/>
    <d v="2025-08-22T00:00:00"/>
    <d v="2025-08-27T00:00:00"/>
    <s v="CUST-5582"/>
    <s v="Karan Malhotra"/>
    <x v="2"/>
    <x v="2"/>
    <s v="Andhra Pradesh"/>
    <s v="Vijayawada"/>
    <x v="2"/>
    <x v="11"/>
    <s v="Max Phones 661"/>
    <x v="2"/>
    <n v="2"/>
    <n v="905.87"/>
    <n v="0.15"/>
    <n v="1539.98"/>
    <n v="1070.2"/>
    <n v="469.78"/>
    <s v="Paid"/>
    <x v="0"/>
    <s v="OK"/>
    <s v="OK"/>
    <s v="OK"/>
    <s v="OK"/>
    <n v="5"/>
    <s v="Unique"/>
    <n v="0.15"/>
    <s v="Valid"/>
    <n v="1539.979"/>
    <x v="70"/>
    <n v="0.30505545854846072"/>
    <x v="1"/>
    <x v="1"/>
    <s v="Clean"/>
  </r>
  <r>
    <s v="ORD-2025-10072"/>
    <d v="2025-04-16T00:00:00"/>
    <d v="2025-04-23T00:00:00"/>
    <s v="CUST-3308"/>
    <s v="Mira Das"/>
    <x v="1"/>
    <x v="3"/>
    <s v="Goa"/>
    <s v="Panaji"/>
    <x v="2"/>
    <x v="12"/>
    <s v="Elite Machines 836"/>
    <x v="3"/>
    <n v="6"/>
    <n v="2027.32"/>
    <n v="0.1"/>
    <n v="10947.53"/>
    <n v="6447.36"/>
    <n v="4500.17"/>
    <s v="Paid"/>
    <x v="0"/>
    <s v="OK"/>
    <s v="OK"/>
    <s v="OK"/>
    <s v="OK"/>
    <n v="7"/>
    <s v="Unique"/>
    <n v="0.1"/>
    <s v="Valid"/>
    <n v="10947.528"/>
    <x v="71"/>
    <n v="0.41106704636882413"/>
    <x v="5"/>
    <x v="1"/>
    <s v="Clean"/>
  </r>
  <r>
    <s v="ORD-2024-10073"/>
    <d v="2024-02-11T00:00:00"/>
    <d v="2024-02-07T00:00:00"/>
    <s v="CUST-5018"/>
    <s v="Karan Malhotra"/>
    <x v="3"/>
    <x v="2"/>
    <s v="Tamil Nadu"/>
    <s v="Chennai"/>
    <x v="1"/>
    <x v="1"/>
    <s v="Prime Tables 902"/>
    <x v="2"/>
    <n v="7"/>
    <n v="2287.4699999999998"/>
    <n v="0.15"/>
    <n v="13610.45"/>
    <n v="10039.049999999999"/>
    <n v="3571.4"/>
    <s v="Paid"/>
    <x v="0"/>
    <s v="OK"/>
    <s v="OK"/>
    <s v="OK"/>
    <s v="Invalid: Ship Before Order"/>
    <n v="-4"/>
    <s v="Unique"/>
    <n v="0.15"/>
    <s v="Valid"/>
    <n v="13610.446499999998"/>
    <x v="72"/>
    <n v="0.26240112695788487"/>
    <x v="6"/>
    <x v="0"/>
    <s v="Invalid"/>
  </r>
  <r>
    <s v="ORD-2025-10074"/>
    <d v="2025-03-29T00:00:00"/>
    <d v="2025-04-03T00:00:00"/>
    <s v="CUST-2342"/>
    <s v="Sneha Kapoor"/>
    <x v="2"/>
    <x v="1"/>
    <s v="West Bengal"/>
    <s v="Kolkata"/>
    <x v="1"/>
    <x v="10"/>
    <s v="Smart Bookcases 167"/>
    <x v="2"/>
    <n v="5"/>
    <n v="1425.74"/>
    <n v="0"/>
    <n v="7128.7"/>
    <n v="4382.1499999999996"/>
    <n v="2746.55"/>
    <s v="Paid"/>
    <x v="0"/>
    <s v="OK"/>
    <s v="OK"/>
    <s v="OK"/>
    <s v="OK"/>
    <n v="5"/>
    <s v="Unique"/>
    <n v="0"/>
    <s v="Valid"/>
    <n v="7128.7"/>
    <x v="73"/>
    <n v="0.38528062620113068"/>
    <x v="11"/>
    <x v="1"/>
    <s v="Clean"/>
  </r>
  <r>
    <s v="ORD-2025-10075"/>
    <d v="2025-02-27T00:00:00"/>
    <d v="2025-03-01T00:00:00"/>
    <s v="CUST-6201"/>
    <s v="Vikram Iyer"/>
    <x v="1"/>
    <x v="1"/>
    <s v="West Bengal"/>
    <s v="Kolkata"/>
    <x v="1"/>
    <x v="4"/>
    <s v="Max Chairs 244"/>
    <x v="3"/>
    <n v="6"/>
    <n v="551.64"/>
    <n v="0"/>
    <n v="3309.84"/>
    <n v="2671.08"/>
    <n v="638.76"/>
    <s v="Paid"/>
    <x v="0"/>
    <s v="OK"/>
    <s v="OK"/>
    <s v="OK"/>
    <s v="OK"/>
    <n v="2"/>
    <s v="Unique"/>
    <n v="0"/>
    <s v="Valid"/>
    <n v="3309.84"/>
    <x v="74"/>
    <n v="0.19298818069755644"/>
    <x v="6"/>
    <x v="1"/>
    <s v="Clean"/>
  </r>
  <r>
    <s v="ORD-2025-10076"/>
    <d v="2025-08-22T00:00:00"/>
    <d v="2025-08-27T00:00:00"/>
    <s v="CUST-5808"/>
    <s v="Priya Menon"/>
    <x v="1"/>
    <x v="1"/>
    <s v="Odisha"/>
    <s v="Bhubaneswar"/>
    <x v="0"/>
    <x v="7"/>
    <s v="Eco Labels 653"/>
    <x v="2"/>
    <n v="3"/>
    <n v="3294.82"/>
    <n v="0.2"/>
    <n v="7907.57"/>
    <n v="5391.18"/>
    <n v="2516.39"/>
    <s v="Paid"/>
    <x v="0"/>
    <s v="OK"/>
    <s v="OK"/>
    <s v="OK"/>
    <s v="OK"/>
    <n v="5"/>
    <s v="Unique"/>
    <n v="0.2"/>
    <s v="Valid"/>
    <n v="7907.5680000000011"/>
    <x v="75"/>
    <n v="0.31822527482533197"/>
    <x v="1"/>
    <x v="1"/>
    <s v="Clean"/>
  </r>
  <r>
    <s v="ORD-2024-10077"/>
    <d v="2024-11-03T00:00:00"/>
    <d v="2024-11-11T00:00:00"/>
    <s v="CUST-2642"/>
    <s v="Ananya Rao"/>
    <x v="2"/>
    <x v="1"/>
    <s v="Jharkhand"/>
    <s v="Ranchi"/>
    <x v="0"/>
    <x v="7"/>
    <s v="Max Labels 617"/>
    <x v="0"/>
    <n v="3"/>
    <n v="3406.27"/>
    <n v="0"/>
    <n v="10218.81"/>
    <n v="7616.97"/>
    <n v="2601.84"/>
    <s v="Paid"/>
    <x v="0"/>
    <s v="OK"/>
    <s v="OK"/>
    <s v="OK"/>
    <s v="OK"/>
    <n v="8"/>
    <s v="Unique"/>
    <n v="0"/>
    <s v="Valid"/>
    <n v="10218.81"/>
    <x v="76"/>
    <n v="0.2546128169522674"/>
    <x v="3"/>
    <x v="0"/>
    <s v="Clean"/>
  </r>
  <r>
    <s v="ORD-2025-10078"/>
    <d v="2025-07-08T00:00:00"/>
    <d v="2025-07-12T00:00:00"/>
    <s v="CUST-4385"/>
    <s v="Rohan Mehta"/>
    <x v="3"/>
    <x v="0"/>
    <s v="Uttar Pradesh"/>
    <s v="Noida"/>
    <x v="1"/>
    <x v="3"/>
    <s v="Pro Furnishings 529"/>
    <x v="3"/>
    <n v="1"/>
    <n v="2582.1999999999998"/>
    <n v="0.15"/>
    <n v="2194.87"/>
    <n v="1223.17"/>
    <n v="971.7"/>
    <s v="Refunded"/>
    <x v="1"/>
    <s v="OK"/>
    <s v="OK"/>
    <s v="OK"/>
    <s v="OK"/>
    <n v="4"/>
    <s v="Unique"/>
    <n v="0.15"/>
    <s v="Valid"/>
    <n v="2194.87"/>
    <x v="77"/>
    <n v="0.44271414707932583"/>
    <x v="0"/>
    <x v="1"/>
    <s v="Clean"/>
  </r>
  <r>
    <s v="ORD-2025-10079"/>
    <d v="2025-07-16T00:00:00"/>
    <d v="2025-07-21T00:00:00"/>
    <s v="CUST-8043"/>
    <s v="Sneha Kapoor"/>
    <x v="2"/>
    <x v="1"/>
    <s v="West Bengal"/>
    <s v="Kolkata"/>
    <x v="1"/>
    <x v="1"/>
    <s v="Smart Tables 561"/>
    <x v="2"/>
    <n v="5"/>
    <n v="2129.5100000000002"/>
    <n v="0.15"/>
    <n v="9050.42"/>
    <n v="6778.85"/>
    <n v="2271.5700000000002"/>
    <s v="Paid"/>
    <x v="0"/>
    <s v="OK"/>
    <s v="OK"/>
    <s v="OK"/>
    <s v="OK"/>
    <n v="5"/>
    <s v="Unique"/>
    <n v="0.15"/>
    <s v="Valid"/>
    <n v="9050.4175000000014"/>
    <x v="78"/>
    <n v="0.25099035486484472"/>
    <x v="0"/>
    <x v="1"/>
    <s v="Clean"/>
  </r>
  <r>
    <s v="ORD-2025-10080"/>
    <d v="2025-09-27T00:00:00"/>
    <d v="2025-10-03T00:00:00"/>
    <s v="CUST-9978"/>
    <s v="Diya Patel"/>
    <x v="3"/>
    <x v="2"/>
    <s v="Tamil Nadu"/>
    <s v="Chennai"/>
    <x v="1"/>
    <x v="4"/>
    <s v="Prime Chairs 838"/>
    <x v="1"/>
    <n v="9"/>
    <n v="4131.5200000000004"/>
    <n v="0.1"/>
    <n v="33465.31"/>
    <n v="24781.26"/>
    <n v="8684.0499999999993"/>
    <s v="Paid"/>
    <x v="0"/>
    <s v="OK"/>
    <s v="OK"/>
    <s v="OK"/>
    <s v="OK"/>
    <n v="6"/>
    <s v="Unique"/>
    <n v="0.1"/>
    <s v="Valid"/>
    <n v="33465.312000000005"/>
    <x v="79"/>
    <n v="0.25949412932411942"/>
    <x v="7"/>
    <x v="1"/>
    <s v="Clean"/>
  </r>
  <r>
    <s v="ORD-2024-10081"/>
    <d v="2024-08-10T00:00:00"/>
    <d v="2024-08-14T00:00:00"/>
    <s v="CUST-2094"/>
    <s v="Aarav Sharma"/>
    <x v="1"/>
    <x v="0"/>
    <s v="Delhi"/>
    <s v="New Delhi"/>
    <x v="0"/>
    <x v="8"/>
    <s v="Elite Storage 371"/>
    <x v="0"/>
    <n v="4"/>
    <n v="1182.32"/>
    <n v="0.1"/>
    <n v="4256.3500000000004"/>
    <n v="2495.33"/>
    <n v="1761.02"/>
    <s v="Pending"/>
    <x v="2"/>
    <s v="OK"/>
    <s v="OK"/>
    <s v="OK"/>
    <s v="OK"/>
    <n v="4"/>
    <s v="Unique"/>
    <n v="0.1"/>
    <s v="Valid"/>
    <n v="4256.3519999999999"/>
    <x v="80"/>
    <n v="0.41373974708858663"/>
    <x v="1"/>
    <x v="0"/>
    <s v="Clean"/>
  </r>
  <r>
    <s v="ORD-2025-10082"/>
    <d v="2025-03-16T00:00:00"/>
    <d v="2025-03-17T00:00:00"/>
    <s v="CUST-7907"/>
    <s v="Karan Malhotra"/>
    <x v="3"/>
    <x v="3"/>
    <s v="Goa"/>
    <s v="Panaji"/>
    <x v="0"/>
    <x v="7"/>
    <s v="Eco Labels 662"/>
    <x v="1"/>
    <n v="3"/>
    <n v="1841.91"/>
    <n v="0"/>
    <n v="5525.73"/>
    <n v="3093.42"/>
    <n v="2432.31"/>
    <s v="Paid"/>
    <x v="0"/>
    <s v="OK"/>
    <s v="OK"/>
    <s v="OK"/>
    <s v="OK"/>
    <n v="1"/>
    <s v="Unique"/>
    <n v="0"/>
    <s v="Valid"/>
    <n v="5525.7300000000005"/>
    <x v="81"/>
    <n v="0.44017894468242208"/>
    <x v="11"/>
    <x v="1"/>
    <s v="Clean"/>
  </r>
  <r>
    <s v="ORD-2024-10083"/>
    <d v="2024-08-03T00:00:00"/>
    <d v="2024-08-04T00:00:00"/>
    <s v="CUST-6516"/>
    <s v="Arjun Bose"/>
    <x v="0"/>
    <x v="0"/>
    <s v="Uttar Pradesh"/>
    <s v="Noida"/>
    <x v="2"/>
    <x v="6"/>
    <s v="Smart Copiers 702"/>
    <x v="0"/>
    <n v="6"/>
    <n v="1001.73"/>
    <n v="0"/>
    <n v="6010.38"/>
    <n v="3762.85"/>
    <n v="2247.5300000000002"/>
    <s v="Failed"/>
    <x v="2"/>
    <s v="OK"/>
    <s v="OK"/>
    <s v="OK"/>
    <s v="OK"/>
    <n v="1"/>
    <s v="Unique"/>
    <n v="0"/>
    <s v="Valid"/>
    <n v="6010.38"/>
    <x v="82"/>
    <n v="0.37394141468592673"/>
    <x v="1"/>
    <x v="0"/>
    <s v="Clean"/>
  </r>
  <r>
    <s v="ORD-2024-10084"/>
    <d v="2024-10-26T00:00:00"/>
    <d v="2024-10-29T00:00:00"/>
    <s v="CUST-4989"/>
    <s v="Aditi Sen"/>
    <x v="3"/>
    <x v="3"/>
    <s v="Maharashtra"/>
    <s v="Mumbai"/>
    <x v="1"/>
    <x v="1"/>
    <s v="Elite Tables 362"/>
    <x v="0"/>
    <n v="9"/>
    <n v="131.74"/>
    <n v="0.2"/>
    <n v="948.53"/>
    <n v="674.62"/>
    <n v="273.91000000000003"/>
    <s v="Paid"/>
    <x v="0"/>
    <s v="OK"/>
    <s v="OK"/>
    <s v="OK"/>
    <s v="OK"/>
    <n v="3"/>
    <s v="Unique"/>
    <n v="0.2"/>
    <s v="Valid"/>
    <n v="948.52800000000013"/>
    <x v="83"/>
    <n v="0.28877165460587362"/>
    <x v="9"/>
    <x v="0"/>
    <s v="Clean"/>
  </r>
  <r>
    <s v="ORD-2024-10085"/>
    <d v="2024-10-01T00:00:00"/>
    <d v="2024-10-03T00:00:00"/>
    <s v="CUST-3758"/>
    <s v="Rohan Mehta"/>
    <x v="2"/>
    <x v="2"/>
    <s v="Tamil Nadu"/>
    <s v="Chennai"/>
    <x v="2"/>
    <x v="11"/>
    <s v="Elite Phones 781"/>
    <x v="0"/>
    <n v="6"/>
    <n v="570.28"/>
    <n v="0.2"/>
    <n v="2737.34"/>
    <n v="2085.44"/>
    <n v="651.9"/>
    <s v="Paid"/>
    <x v="0"/>
    <s v="OK"/>
    <s v="OK"/>
    <s v="OK"/>
    <s v="OK"/>
    <n v="2"/>
    <s v="Unique"/>
    <n v="0.2"/>
    <s v="Valid"/>
    <n v="2737.3440000000001"/>
    <x v="84"/>
    <n v="0.23815201889130486"/>
    <x v="9"/>
    <x v="0"/>
    <s v="Clean"/>
  </r>
  <r>
    <s v="ORD-2024-10086"/>
    <d v="2024-07-30T00:00:00"/>
    <d v="2024-08-05T00:00:00"/>
    <s v="CUST-6702"/>
    <s v="Kabir Singh"/>
    <x v="2"/>
    <x v="0"/>
    <s v="Delhi"/>
    <s v="New Delhi"/>
    <x v="0"/>
    <x v="9"/>
    <s v="Eco Binders 456"/>
    <x v="3"/>
    <n v="1"/>
    <n v="608.64"/>
    <n v="0"/>
    <n v="608.64"/>
    <n v="343.99"/>
    <n v="264.64999999999998"/>
    <s v="Paid"/>
    <x v="1"/>
    <s v="OK"/>
    <s v="OK"/>
    <s v="OK"/>
    <s v="OK"/>
    <n v="6"/>
    <s v="Unique"/>
    <n v="0"/>
    <s v="Valid"/>
    <n v="608.64"/>
    <x v="85"/>
    <n v="0.43482189800210302"/>
    <x v="0"/>
    <x v="0"/>
    <s v="Clean"/>
  </r>
  <r>
    <s v="ORD-2024-10087"/>
    <d v="2024-07-01T00:00:00"/>
    <d v="2024-07-01T00:00:00"/>
    <s v="CUST-9148"/>
    <s v="Ananya Rao"/>
    <x v="1"/>
    <x v="0"/>
    <s v="Delhi"/>
    <s v="New Delhi"/>
    <x v="2"/>
    <x v="6"/>
    <s v="Basic Copiers 525"/>
    <x v="0"/>
    <n v="3"/>
    <n v="885.28"/>
    <n v="0.1"/>
    <n v="2390.2600000000002"/>
    <n v="1495.94"/>
    <n v="894.32"/>
    <s v="Refunded"/>
    <x v="1"/>
    <s v="OK"/>
    <s v="OK"/>
    <s v="OK"/>
    <s v="OK"/>
    <n v="0"/>
    <s v="Unique"/>
    <n v="0.1"/>
    <s v="Valid"/>
    <n v="2390.2560000000003"/>
    <x v="86"/>
    <n v="0.37415071858411825"/>
    <x v="0"/>
    <x v="0"/>
    <s v="Clean"/>
  </r>
  <r>
    <s v="ORD-2024-10088"/>
    <d v="2024-08-02T00:00:00"/>
    <d v="2024-08-03T00:00:00"/>
    <s v="CUST-5829"/>
    <s v="Vikram Iyer"/>
    <x v="0"/>
    <x v="1"/>
    <s v="Assam"/>
    <s v="Guwahati"/>
    <x v="0"/>
    <x v="9"/>
    <s v="Eco Binders 258"/>
    <x v="3"/>
    <n v="7"/>
    <n v="3345.22"/>
    <n v="0"/>
    <n v="23416.54"/>
    <n v="15490.89"/>
    <n v="7925.65"/>
    <s v="Paid"/>
    <x v="0"/>
    <s v="OK"/>
    <s v="OK"/>
    <s v="OK"/>
    <s v="OK"/>
    <n v="1"/>
    <s v="Unique"/>
    <n v="0"/>
    <s v="Valid"/>
    <n v="23416.539999999997"/>
    <x v="87"/>
    <n v="0.33846375254414185"/>
    <x v="1"/>
    <x v="0"/>
    <s v="Clean"/>
  </r>
  <r>
    <s v="ORD-2024-10089"/>
    <d v="2024-03-24T00:00:00"/>
    <d v="2024-03-27T00:00:00"/>
    <s v="CUST-6059"/>
    <s v="Rohan Mehta"/>
    <x v="1"/>
    <x v="3"/>
    <s v="Maharashtra"/>
    <s v="Mumbai"/>
    <x v="1"/>
    <x v="10"/>
    <s v="Max Bookcases 398"/>
    <x v="3"/>
    <n v="2"/>
    <n v="3284.75"/>
    <n v="0.05"/>
    <n v="6241.02"/>
    <n v="5345.88"/>
    <n v="895.14"/>
    <s v="Paid"/>
    <x v="0"/>
    <s v="OK"/>
    <s v="OK"/>
    <s v="OK"/>
    <s v="OK"/>
    <n v="3"/>
    <s v="Unique"/>
    <n v="0.05"/>
    <s v="Valid"/>
    <n v="6241.0249999999996"/>
    <x v="88"/>
    <n v="0.14342916427990587"/>
    <x v="11"/>
    <x v="0"/>
    <s v="Clean"/>
  </r>
  <r>
    <s v="ORD-2024-10090"/>
    <d v="2024-09-05T00:00:00"/>
    <d v="2024-09-05T00:00:00"/>
    <s v="CUST-7744"/>
    <s v="Kabir Singh"/>
    <x v="0"/>
    <x v="2"/>
    <s v="Andhra Pradesh"/>
    <s v="Vijayawada"/>
    <x v="1"/>
    <x v="10"/>
    <s v="Smart Bookcases 857"/>
    <x v="3"/>
    <n v="7"/>
    <n v="3761.09"/>
    <n v="0.2"/>
    <n v="21062.1"/>
    <n v="12057.13"/>
    <n v="9004.9699999999993"/>
    <s v="Pending"/>
    <x v="1"/>
    <s v="OK"/>
    <s v="OK"/>
    <s v="OK"/>
    <s v="OK"/>
    <n v="0"/>
    <s v="Unique"/>
    <n v="0.2"/>
    <s v="Valid"/>
    <n v="21062.104000000003"/>
    <x v="89"/>
    <n v="0.42754389589947911"/>
    <x v="7"/>
    <x v="0"/>
    <s v="Clean"/>
  </r>
  <r>
    <s v="ORD-2025-10091"/>
    <d v="2025-08-24T00:00:00"/>
    <d v="2025-08-29T00:00:00"/>
    <s v="CUST-5909"/>
    <s v="Aarav Sharma"/>
    <x v="1"/>
    <x v="1"/>
    <s v="Bihar"/>
    <s v="Patna"/>
    <x v="2"/>
    <x v="6"/>
    <s v="Smart Copiers 556"/>
    <x v="2"/>
    <n v="3"/>
    <n v="3703.96"/>
    <n v="0.15"/>
    <n v="9445.1"/>
    <n v="5586.28"/>
    <n v="3858.82"/>
    <s v="Paid"/>
    <x v="0"/>
    <s v="OK"/>
    <s v="OK"/>
    <s v="OK"/>
    <s v="OK"/>
    <n v="5"/>
    <s v="Conflicting Duplicate - Manual Review Required"/>
    <n v="0.15"/>
    <s v="Valid"/>
    <n v="9445.098"/>
    <x v="90"/>
    <n v="0.40855245758170006"/>
    <x v="1"/>
    <x v="1"/>
    <s v="Invalid"/>
  </r>
  <r>
    <s v="ORD-2025-10092"/>
    <d v="2025-03-02T00:00:00"/>
    <d v="2025-03-08T00:00:00"/>
    <s v="CUST-6409"/>
    <s v="Sneha Kapoor"/>
    <x v="2"/>
    <x v="3"/>
    <s v="Madhya Pradesh"/>
    <s v="Indore"/>
    <x v="2"/>
    <x v="6"/>
    <s v="Prime Copiers 575"/>
    <x v="0"/>
    <n v="9"/>
    <n v="269.68"/>
    <n v="0"/>
    <n v="2427.12"/>
    <n v="1538.35"/>
    <n v="804.53"/>
    <s v="Paid"/>
    <x v="0"/>
    <s v="OK"/>
    <s v="OK"/>
    <s v="OK"/>
    <s v="OK"/>
    <n v="6"/>
    <s v="Unique"/>
    <n v="0"/>
    <s v="Valid"/>
    <n v="2427.12"/>
    <x v="91"/>
    <n v="0.36618296581957216"/>
    <x v="11"/>
    <x v="1"/>
    <s v="Clean"/>
  </r>
  <r>
    <s v="ORD-2025-10093"/>
    <d v="2025-01-23T00:00:00"/>
    <d v="2025-01-26T00:00:00"/>
    <s v="CUST-3014"/>
    <s v="Aarav Sharma"/>
    <x v="0"/>
    <x v="3"/>
    <s v="Madhya Pradesh"/>
    <s v="Indore"/>
    <x v="0"/>
    <x v="0"/>
    <s v="Elite Paper 669"/>
    <x v="3"/>
    <n v="9"/>
    <n v="4458.26"/>
    <n v="0.1"/>
    <n v="36111.910000000003"/>
    <n v="29194.5"/>
    <n v="6917.41"/>
    <s v="Paid"/>
    <x v="0"/>
    <s v="OK"/>
    <s v="OK"/>
    <s v="OK"/>
    <s v="OK"/>
    <n v="3"/>
    <s v="Unique"/>
    <n v="0.1"/>
    <s v="Valid"/>
    <n v="36111.906000000003"/>
    <x v="92"/>
    <n v="0.19155471882320479"/>
    <x v="10"/>
    <x v="1"/>
    <s v="Clean"/>
  </r>
  <r>
    <s v="ORD-2024-10094"/>
    <d v="2024-01-07T00:00:00"/>
    <d v="2024-01-13T00:00:00"/>
    <s v="CUST-6106"/>
    <s v="Rohan Mehta"/>
    <x v="2"/>
    <x v="0"/>
    <s v="Uttar Pradesh"/>
    <s v="Noida"/>
    <x v="0"/>
    <x v="9"/>
    <s v="Eco Binders 780"/>
    <x v="3"/>
    <n v="7"/>
    <n v="2788.97"/>
    <n v="-0.09"/>
    <n v="19522.79"/>
    <n v="12455.78"/>
    <n v="7067.01"/>
    <s v="Paid"/>
    <x v="0"/>
    <s v="OK"/>
    <s v="OK"/>
    <s v="OK"/>
    <s v="OK"/>
    <n v="6"/>
    <s v="Unique"/>
    <n v="-0.09"/>
    <s v="Invalid: Negative Discount"/>
    <n v="21279.841099999998"/>
    <x v="93"/>
    <n v="0.41466762174272054"/>
    <x v="10"/>
    <x v="0"/>
    <s v="Invalid"/>
  </r>
  <r>
    <s v="ORD-2024-10095"/>
    <d v="2024-09-06T00:00:00"/>
    <d v="2024-09-09T00:00:00"/>
    <s v="CUST-1926"/>
    <s v="Diya Patel"/>
    <x v="0"/>
    <x v="0"/>
    <s v="Haryana"/>
    <s v="Gurugram"/>
    <x v="2"/>
    <x v="11"/>
    <s v="Elite Phones 723"/>
    <x v="0"/>
    <n v="7"/>
    <n v="3781.53"/>
    <n v="0"/>
    <n v="26470.71"/>
    <n v="21367.599999999999"/>
    <n v="5103.1099999999997"/>
    <s v="Pending"/>
    <x v="1"/>
    <s v="OK"/>
    <s v="OK"/>
    <s v="OK"/>
    <s v="OK"/>
    <n v="3"/>
    <s v="Unique"/>
    <n v="0"/>
    <s v="Valid"/>
    <n v="26470.710000000003"/>
    <x v="94"/>
    <n v="0.19278326875251944"/>
    <x v="7"/>
    <x v="0"/>
    <s v="Clean"/>
  </r>
  <r>
    <s v="ORD-2025-10096"/>
    <d v="2025-09-05T00:00:00"/>
    <d v="2025-09-10T00:00:00"/>
    <s v="CUST-2687"/>
    <s v="Sneha Kapoor"/>
    <x v="2"/>
    <x v="3"/>
    <s v="Goa"/>
    <s v="Panaji"/>
    <x v="1"/>
    <x v="10"/>
    <s v="Classic Bookcases 988"/>
    <x v="1"/>
    <n v="6"/>
    <n v="1754.13"/>
    <n v="0"/>
    <n v="10524.78"/>
    <n v="8841.0499999999993"/>
    <n v="1683.73"/>
    <s v="Paid"/>
    <x v="0"/>
    <s v="OK"/>
    <s v="OK"/>
    <s v="OK"/>
    <s v="OK"/>
    <n v="5"/>
    <s v="Unique"/>
    <n v="0"/>
    <s v="Valid"/>
    <n v="10524.78"/>
    <x v="95"/>
    <n v="0.15997769074507984"/>
    <x v="7"/>
    <x v="1"/>
    <s v="Clean"/>
  </r>
  <r>
    <s v="ORD-2024-10097"/>
    <d v="2024-06-05T00:00:00"/>
    <d v="2024-06-07T00:00:00"/>
    <s v="CUST-7283"/>
    <s v="Rahul Verma"/>
    <x v="3"/>
    <x v="1"/>
    <s v="Odisha"/>
    <s v="Bhubaneswar"/>
    <x v="2"/>
    <x v="6"/>
    <s v="Smart Copiers 547"/>
    <x v="0"/>
    <n v="2"/>
    <n v="2259.2399999999998"/>
    <n v="0.15"/>
    <n v="3840.71"/>
    <n v="2516.29"/>
    <n v="1324.42"/>
    <s v="Paid"/>
    <x v="0"/>
    <s v="OK"/>
    <s v="OK"/>
    <s v="OK"/>
    <s v="OK"/>
    <n v="2"/>
    <s v="Unique"/>
    <n v="0.15"/>
    <s v="Valid"/>
    <n v="3840.7079999999996"/>
    <x v="96"/>
    <n v="0.34483694152224009"/>
    <x v="2"/>
    <x v="0"/>
    <s v="Clean"/>
  </r>
  <r>
    <s v="ORD-2025-10098"/>
    <d v="2025-08-08T00:00:00"/>
    <d v="2025-08-11T00:00:00"/>
    <s v="CUST-8111"/>
    <s v="Diya Patel"/>
    <x v="1"/>
    <x v="3"/>
    <s v="Gujarat"/>
    <s v="Ahmedabad"/>
    <x v="0"/>
    <x v="8"/>
    <s v="Basic Storage 656"/>
    <x v="1"/>
    <n v="5"/>
    <n v="3602.36"/>
    <n v="0.2"/>
    <n v="14409.44"/>
    <n v="8809.9699999999993"/>
    <n v="5599.47"/>
    <s v="Pending"/>
    <x v="2"/>
    <s v="OK"/>
    <s v="OK"/>
    <s v="OK"/>
    <s v="OK"/>
    <n v="3"/>
    <s v="Unique"/>
    <n v="0.2"/>
    <s v="Valid"/>
    <n v="14409.44"/>
    <x v="97"/>
    <n v="0.38859733619071951"/>
    <x v="1"/>
    <x v="1"/>
    <s v="Clean"/>
  </r>
  <r>
    <s v="ORD-2024-10099"/>
    <d v="2024-01-26T00:00:00"/>
    <d v="2024-02-01T00:00:00"/>
    <s v="CUST-5434"/>
    <s v="Rohan Mehta"/>
    <x v="3"/>
    <x v="2"/>
    <s v="Kerala"/>
    <s v="Kochi"/>
    <x v="2"/>
    <x v="6"/>
    <s v="Elite Copiers 785"/>
    <x v="4"/>
    <n v="8"/>
    <n v="2108.9299999999998"/>
    <n v="0.1"/>
    <n v="15184.3"/>
    <n v="11270.74"/>
    <n v="3913.56"/>
    <s v="Paid"/>
    <x v="0"/>
    <s v="OK"/>
    <s v="OK"/>
    <s v="OK"/>
    <s v="OK"/>
    <n v="6"/>
    <s v="Unique"/>
    <n v="0.1"/>
    <s v="Valid"/>
    <n v="15184.295999999998"/>
    <x v="98"/>
    <n v="0.25773707256497103"/>
    <x v="10"/>
    <x v="0"/>
    <s v="Warning"/>
  </r>
  <r>
    <s v="ORD-2025-10100"/>
    <d v="2025-01-11T00:00:00"/>
    <d v="2025-01-11T00:00:00"/>
    <s v="CUST-3865"/>
    <s v="Aditi Sen"/>
    <x v="1"/>
    <x v="3"/>
    <s v="Rajasthan"/>
    <s v="Udaipur"/>
    <x v="2"/>
    <x v="5"/>
    <s v="Smart Accessories 542"/>
    <x v="1"/>
    <n v="3"/>
    <n v="2165.29"/>
    <n v="0"/>
    <n v="6495.87"/>
    <n v="4700.8900000000003"/>
    <n v="1794.98"/>
    <s v="Paid"/>
    <x v="0"/>
    <s v="OK"/>
    <s v="OK"/>
    <s v="OK"/>
    <s v="OK"/>
    <n v="0"/>
    <s v="Unique"/>
    <n v="0"/>
    <s v="Valid"/>
    <n v="6495.87"/>
    <x v="99"/>
    <n v="0.27632634273777024"/>
    <x v="10"/>
    <x v="1"/>
    <s v="Clean"/>
  </r>
  <r>
    <s v="ORD-2025-10101"/>
    <d v="2025-09-12T00:00:00"/>
    <d v="2025-09-18T00:00:00"/>
    <s v="CUST-6015"/>
    <s v="Aarav Sharma"/>
    <x v="3"/>
    <x v="2"/>
    <s v="Kerala"/>
    <s v="Kochi"/>
    <x v="0"/>
    <x v="8"/>
    <s v="Eco Storage 936"/>
    <x v="3"/>
    <n v="6"/>
    <n v="1673.8"/>
    <n v="0.05"/>
    <n v="9540.66"/>
    <n v="5561.49"/>
    <n v="3979.17"/>
    <s v="Paid"/>
    <x v="0"/>
    <s v="OK"/>
    <s v="OK"/>
    <s v="OK"/>
    <s v="OK"/>
    <n v="6"/>
    <s v="Unique"/>
    <n v="0.05"/>
    <s v="Valid"/>
    <n v="9540.659999999998"/>
    <x v="100"/>
    <n v="0.41707491934520241"/>
    <x v="7"/>
    <x v="1"/>
    <s v="Clean"/>
  </r>
  <r>
    <s v="ORD-2024-10102"/>
    <d v="2024-06-22T00:00:00"/>
    <d v="2024-06-26T00:00:00"/>
    <s v="CUST-7909"/>
    <s v="Rohan Mehta"/>
    <x v="3"/>
    <x v="1"/>
    <s v="Bihar"/>
    <s v="Patna"/>
    <x v="1"/>
    <x v="3"/>
    <s v="Classic Furnishings 682"/>
    <x v="2"/>
    <n v="5"/>
    <n v="4396.5200000000004"/>
    <n v="0.25"/>
    <n v="16486.95"/>
    <n v="12054.14"/>
    <n v="4432.8100000000004"/>
    <s v="Paid"/>
    <x v="0"/>
    <s v="OK"/>
    <s v="OK"/>
    <s v="OK"/>
    <s v="OK"/>
    <n v="4"/>
    <s v="Unique"/>
    <n v="0.25"/>
    <s v="Valid"/>
    <n v="16486.95"/>
    <x v="101"/>
    <n v="0.26886780150361356"/>
    <x v="2"/>
    <x v="0"/>
    <s v="Clean"/>
  </r>
  <r>
    <s v="ORD-2025-10103"/>
    <d v="2025-07-12T00:00:00"/>
    <d v="2025-07-16T00:00:00"/>
    <s v="CUST-9603"/>
    <s v="Vikram Iyer"/>
    <x v="0"/>
    <x v="2"/>
    <s v="Karnataka"/>
    <s v="Bengaluru"/>
    <x v="1"/>
    <x v="4"/>
    <s v="Classic Chairs 604"/>
    <x v="2"/>
    <n v="4"/>
    <n v="2865.71"/>
    <n v="0"/>
    <n v="11462.84"/>
    <n v="8979.7800000000007"/>
    <n v="2483.06"/>
    <s v="Refunded"/>
    <x v="1"/>
    <s v="OK"/>
    <s v="OK"/>
    <s v="OK"/>
    <s v="OK"/>
    <n v="4"/>
    <s v="Unique"/>
    <n v="0"/>
    <s v="Valid"/>
    <n v="11462.84"/>
    <x v="102"/>
    <n v="0.21661822026653077"/>
    <x v="0"/>
    <x v="1"/>
    <s v="Clean"/>
  </r>
  <r>
    <s v="ORD-2025-10104"/>
    <d v="2025-05-02T00:00:00"/>
    <d v="2025-05-10T00:00:00"/>
    <s v="CUST-6263"/>
    <s v="Kabir Singh"/>
    <x v="2"/>
    <x v="3"/>
    <s v="Maharashtra"/>
    <s v="Mumbai"/>
    <x v="1"/>
    <x v="1"/>
    <s v="Prime Tables 377"/>
    <x v="2"/>
    <n v="4"/>
    <n v="2440.34"/>
    <n v="0.2"/>
    <n v="7809.09"/>
    <n v="6657.75"/>
    <n v="1151.3399999999999"/>
    <s v="Paid"/>
    <x v="0"/>
    <s v="OK"/>
    <s v="OK"/>
    <s v="OK"/>
    <s v="OK"/>
    <n v="8"/>
    <s v="Unique"/>
    <n v="0.2"/>
    <s v="Valid"/>
    <n v="7809.0880000000006"/>
    <x v="103"/>
    <n v="0.14743565445798543"/>
    <x v="4"/>
    <x v="1"/>
    <s v="Clean"/>
  </r>
  <r>
    <s v="ORD-2025-10105"/>
    <d v="2025-02-01T00:00:00"/>
    <d v="2025-02-08T00:00:00"/>
    <s v="CUST-1576"/>
    <s v="Ananya Rao"/>
    <x v="0"/>
    <x v="2"/>
    <s v="Karnataka"/>
    <s v="Bengaluru"/>
    <x v="0"/>
    <x v="7"/>
    <s v="Prime Labels 807"/>
    <x v="1"/>
    <n v="5"/>
    <n v="2112.54"/>
    <n v="0.25"/>
    <n v="8260.4599999999991"/>
    <n v="5619.95"/>
    <n v="2302.08"/>
    <s v="Paid"/>
    <x v="1"/>
    <s v="OK"/>
    <s v="OK"/>
    <s v="OK"/>
    <s v="OK"/>
    <n v="7"/>
    <s v="Unique"/>
    <n v="0.25"/>
    <s v="Valid"/>
    <n v="7922.0250000000005"/>
    <x v="104"/>
    <n v="0.29059173633004193"/>
    <x v="6"/>
    <x v="1"/>
    <s v="Clean"/>
  </r>
  <r>
    <s v="ORD-2024-10106"/>
    <d v="2024-06-24T00:00:00"/>
    <d v="2024-06-29T00:00:00"/>
    <s v="CUST-6540"/>
    <s v="Mira Das"/>
    <x v="3"/>
    <x v="1"/>
    <s v="West Bengal"/>
    <s v="Kolkata"/>
    <x v="1"/>
    <x v="1"/>
    <s v="Eco Tables 575"/>
    <x v="0"/>
    <n v="2"/>
    <n v="685"/>
    <n v="0.1"/>
    <n v="1233"/>
    <n v="1006.9"/>
    <n v="226.1"/>
    <s v="Paid"/>
    <x v="0"/>
    <s v="OK"/>
    <s v="OK"/>
    <s v="OK"/>
    <s v="OK"/>
    <n v="5"/>
    <s v="Unique"/>
    <n v="0.1"/>
    <s v="Valid"/>
    <n v="1233"/>
    <x v="105"/>
    <n v="0.18337388483373887"/>
    <x v="2"/>
    <x v="0"/>
    <s v="Clean"/>
  </r>
  <r>
    <s v="ORD-2024-10107"/>
    <d v="2024-02-20T00:00:00"/>
    <d v="2024-02-28T00:00:00"/>
    <s v="CUST-4008"/>
    <s v="Arjun Bose"/>
    <x v="3"/>
    <x v="1"/>
    <s v="West Bengal"/>
    <s v="Kolkata"/>
    <x v="0"/>
    <x v="0"/>
    <s v="Eco Paper 918"/>
    <x v="3"/>
    <n v="2"/>
    <n v="4004.04"/>
    <m/>
    <n v="7207.27"/>
    <n v="5709.39"/>
    <n v="1497.88"/>
    <s v="Paid"/>
    <x v="1"/>
    <s v="OK"/>
    <s v="OK"/>
    <s v="OK"/>
    <s v="OK"/>
    <n v="8"/>
    <s v="Unique"/>
    <n v="0"/>
    <s v="Missing - Treated as 0"/>
    <n v="8008.08"/>
    <x v="106"/>
    <n v="0.28704633320346445"/>
    <x v="6"/>
    <x v="0"/>
    <s v="Warning"/>
  </r>
  <r>
    <s v="ORD-2024-10108"/>
    <d v="2024-10-29T00:00:00"/>
    <d v="2024-11-04T00:00:00"/>
    <s v="CUST-6604"/>
    <s v="Rohan Mehta"/>
    <x v="3"/>
    <x v="1"/>
    <s v="West Bengal"/>
    <s v="Kolkata"/>
    <x v="1"/>
    <x v="3"/>
    <s v="Prime Furnishings 952"/>
    <x v="2"/>
    <n v="3"/>
    <n v="4302.8900000000003"/>
    <n v="0.05"/>
    <n v="12263.24"/>
    <n v="8925.57"/>
    <n v="3337.67"/>
    <s v="Paid"/>
    <x v="0"/>
    <s v="OK"/>
    <s v="OK"/>
    <s v="OK"/>
    <s v="OK"/>
    <n v="6"/>
    <s v="Unique"/>
    <n v="0.05"/>
    <s v="Valid"/>
    <n v="12263.236500000001"/>
    <x v="107"/>
    <n v="0.27216848504878799"/>
    <x v="9"/>
    <x v="0"/>
    <s v="Clean"/>
  </r>
  <r>
    <s v="ORD-2024-10109"/>
    <d v="2024-08-15T00:00:00"/>
    <d v="2024-08-23T00:00:00"/>
    <s v="CUST-4337"/>
    <s v="Aditi Sen"/>
    <x v="1"/>
    <x v="1"/>
    <s v="Odisha"/>
    <s v="Bhubaneswar"/>
    <x v="1"/>
    <x v="10"/>
    <s v="Prime Bookcases 631"/>
    <x v="1"/>
    <n v="2"/>
    <n v="537.54"/>
    <n v="0.25"/>
    <n v="806.31"/>
    <n v="498.5"/>
    <n v="307.81"/>
    <s v="Paid"/>
    <x v="0"/>
    <s v="OK"/>
    <s v="OK"/>
    <s v="OK"/>
    <s v="OK"/>
    <n v="8"/>
    <s v="Unique"/>
    <n v="0.25"/>
    <s v="Valid"/>
    <n v="806.31"/>
    <x v="108"/>
    <n v="0.38175143555208291"/>
    <x v="1"/>
    <x v="0"/>
    <s v="Clean"/>
  </r>
  <r>
    <s v="ORD-2025-10110"/>
    <d v="2025-08-23T00:00:00"/>
    <d v="2025-08-27T00:00:00"/>
    <s v="CUST-3740"/>
    <s v="Sneha Kapoor"/>
    <x v="0"/>
    <x v="0"/>
    <s v="Delhi"/>
    <s v="New Delhi"/>
    <x v="0"/>
    <x v="9"/>
    <s v="Classic Binders 660"/>
    <x v="0"/>
    <n v="1"/>
    <n v="2788.62"/>
    <n v="0.25"/>
    <n v="2091.4699999999998"/>
    <n v="1317.22"/>
    <n v="774.25"/>
    <s v="Paid"/>
    <x v="0"/>
    <s v="OK"/>
    <s v="OK"/>
    <s v="OK"/>
    <s v="OK"/>
    <n v="4"/>
    <s v="Unique"/>
    <n v="0.25"/>
    <s v="Valid"/>
    <n v="2091.4650000000001"/>
    <x v="109"/>
    <n v="0.37019266399389905"/>
    <x v="1"/>
    <x v="1"/>
    <s v="Clean"/>
  </r>
  <r>
    <s v="ORD-2024-10111"/>
    <d v="2024-10-18T00:00:00"/>
    <d v="2024-10-24T00:00:00"/>
    <s v="CUST-7128"/>
    <s v="Vikram Iyer"/>
    <x v="2"/>
    <x v="2"/>
    <s v="Kerala"/>
    <s v="Kochi"/>
    <x v="0"/>
    <x v="7"/>
    <s v="Pro Labels 255"/>
    <x v="2"/>
    <n v="2"/>
    <n v="2250.4699999999998"/>
    <n v="0"/>
    <n v="4500.9399999999996"/>
    <n v="2607.73"/>
    <n v="1893.21"/>
    <s v="Refunded"/>
    <x v="1"/>
    <s v="OK"/>
    <s v="OK"/>
    <s v="OK"/>
    <s v="OK"/>
    <n v="6"/>
    <s v="Unique"/>
    <n v="0"/>
    <s v="Valid"/>
    <n v="4500.9399999999996"/>
    <x v="110"/>
    <n v="0.42062546934640316"/>
    <x v="9"/>
    <x v="0"/>
    <s v="Clean"/>
  </r>
  <r>
    <s v="ORD-2025-10112"/>
    <d v="2025-06-27T00:00:00"/>
    <d v="2025-06-30T00:00:00"/>
    <s v="CUST-4743"/>
    <s v="Neha Gupta"/>
    <x v="2"/>
    <x v="1"/>
    <s v="Bihar"/>
    <s v="Patna"/>
    <x v="2"/>
    <x v="5"/>
    <s v="Basic Accessories 187"/>
    <x v="2"/>
    <n v="1"/>
    <n v="1708.44"/>
    <n v="0.05"/>
    <n v="1623.02"/>
    <n v="1077.46"/>
    <n v="545.55999999999995"/>
    <s v="Pending"/>
    <x v="1"/>
    <s v="OK"/>
    <s v="OK"/>
    <s v="OK"/>
    <s v="OK"/>
    <n v="3"/>
    <s v="Unique"/>
    <n v="0.05"/>
    <s v="Valid"/>
    <n v="1623.018"/>
    <x v="111"/>
    <n v="0.3361379849145234"/>
    <x v="2"/>
    <x v="1"/>
    <s v="Clean"/>
  </r>
  <r>
    <s v="ORD-2024-10113"/>
    <d v="2024-01-10T00:00:00"/>
    <d v="2024-01-14T00:00:00"/>
    <s v="CUST-5213"/>
    <s v="Sneha Kapoor"/>
    <x v="0"/>
    <x v="4"/>
    <s v="Gujarat"/>
    <s v="Ahmedabad"/>
    <x v="2"/>
    <x v="5"/>
    <s v="Max Accessories 451"/>
    <x v="3"/>
    <n v="3"/>
    <n v="3829.48"/>
    <n v="0.05"/>
    <n v="10914.02"/>
    <n v="6548.74"/>
    <n v="4365.28"/>
    <s v="Paid"/>
    <x v="0"/>
    <s v="OK"/>
    <s v="OK"/>
    <s v="OK"/>
    <s v="OK"/>
    <n v="4"/>
    <s v="Unique"/>
    <n v="0.05"/>
    <s v="Valid"/>
    <n v="10914.018"/>
    <x v="112"/>
    <n v="0.39996983695647198"/>
    <x v="10"/>
    <x v="0"/>
    <s v="Warning"/>
  </r>
  <r>
    <s v="ORD-2024-10114"/>
    <d v="2024-02-12T00:00:00"/>
    <d v="2024-02-12T00:00:00"/>
    <s v="CUST-4989"/>
    <s v="Isha Nair"/>
    <x v="3"/>
    <x v="2"/>
    <s v="Tamil Nadu"/>
    <s v="Chennai"/>
    <x v="1"/>
    <x v="1"/>
    <s v="Classic Tables 752"/>
    <x v="3"/>
    <n v="3"/>
    <n v="1089.1500000000001"/>
    <n v="0.25"/>
    <n v="2450.59"/>
    <n v="1639.89"/>
    <n v="810.7"/>
    <s v="Paid"/>
    <x v="0"/>
    <s v="OK"/>
    <s v="OK"/>
    <s v="OK"/>
    <s v="OK"/>
    <n v="0"/>
    <s v="Unique"/>
    <n v="0.25"/>
    <s v="Valid"/>
    <n v="2450.5875000000001"/>
    <x v="113"/>
    <n v="0.33081761006289306"/>
    <x v="6"/>
    <x v="0"/>
    <s v="Clean"/>
  </r>
  <r>
    <s v="ORD-2024-10115"/>
    <d v="2024-09-25T00:00:00"/>
    <d v="2024-09-30T00:00:00"/>
    <s v="CUST-2927"/>
    <s v="Neha Gupta"/>
    <x v="1"/>
    <x v="0"/>
    <s v="Rajasthan"/>
    <s v="Jaipur"/>
    <x v="2"/>
    <x v="5"/>
    <s v="Eco Accessories 452"/>
    <x v="0"/>
    <n v="1"/>
    <n v="4388.3999999999996"/>
    <n v="0.1"/>
    <n v="3949.56"/>
    <n v="3186.73"/>
    <n v="762.83"/>
    <s v="Pending"/>
    <x v="1"/>
    <s v="OK"/>
    <s v="OK"/>
    <s v="OK"/>
    <s v="OK"/>
    <n v="5"/>
    <s v="Unique"/>
    <n v="0.1"/>
    <s v="Valid"/>
    <n v="3949.56"/>
    <x v="114"/>
    <n v="0.19314303365438173"/>
    <x v="7"/>
    <x v="0"/>
    <s v="Clean"/>
  </r>
  <r>
    <s v="ORD-2024-10116"/>
    <d v="2024-12-27T00:00:00"/>
    <d v="2025-01-01T00:00:00"/>
    <s v="CUST-7764"/>
    <s v="Kabir Singh"/>
    <x v="2"/>
    <x v="2"/>
    <s v="Tamil Nadu"/>
    <s v="Chennai"/>
    <x v="0"/>
    <x v="9"/>
    <s v="Classic Binders 203"/>
    <x v="1"/>
    <n v="2"/>
    <n v="446.34"/>
    <n v="0.15"/>
    <n v="758.78"/>
    <n v="490.74"/>
    <n v="268.04000000000002"/>
    <s v="Paid"/>
    <x v="1"/>
    <s v="OK"/>
    <s v="OK"/>
    <s v="OK"/>
    <s v="OK"/>
    <n v="5"/>
    <s v="Unique"/>
    <n v="0.15"/>
    <s v="Valid"/>
    <n v="758.77799999999991"/>
    <x v="115"/>
    <n v="0.35324956706704719"/>
    <x v="8"/>
    <x v="0"/>
    <s v="Clean"/>
  </r>
  <r>
    <s v="ORD-2025-10117"/>
    <d v="2025-02-15T00:00:00"/>
    <d v="2025-02-19T00:00:00"/>
    <s v="CUST-3632"/>
    <s v="Ananya Rao"/>
    <x v="1"/>
    <x v="4"/>
    <s v="Madhya Pradesh"/>
    <s v="Indore"/>
    <x v="0"/>
    <x v="9"/>
    <s v="Basic Binders 859"/>
    <x v="2"/>
    <n v="9"/>
    <n v="531.99"/>
    <n v="0.25"/>
    <n v="3590.93"/>
    <n v="3061.39"/>
    <n v="529.54"/>
    <s v="Failed"/>
    <x v="1"/>
    <s v="OK"/>
    <s v="OK"/>
    <s v="OK"/>
    <s v="OK"/>
    <n v="4"/>
    <s v="Unique"/>
    <n v="0.25"/>
    <s v="Valid"/>
    <n v="3590.9324999999999"/>
    <x v="116"/>
    <n v="0.14746657031286442"/>
    <x v="6"/>
    <x v="1"/>
    <s v="Warning"/>
  </r>
  <r>
    <s v="ORD-2024-10118"/>
    <d v="2024-02-15T00:00:00"/>
    <d v="2024-02-17T00:00:00"/>
    <s v="CUST-9608"/>
    <s v="Mira Das"/>
    <x v="3"/>
    <x v="2"/>
    <s v="Tamil Nadu"/>
    <s v="Chennai"/>
    <x v="2"/>
    <x v="12"/>
    <s v="Elite Machines 705"/>
    <x v="3"/>
    <n v="9"/>
    <n v="3324.55"/>
    <s v="70%"/>
    <n v="25432.81"/>
    <n v="20370.16"/>
    <n v="5062.6499999999996"/>
    <s v="Paid"/>
    <x v="0"/>
    <s v="OK"/>
    <s v="OK"/>
    <s v="OK"/>
    <s v="OK"/>
    <n v="2"/>
    <s v="Unique"/>
    <n v="0.7"/>
    <s v="Invalid: Above Allowed Range (Text Format)"/>
    <n v="8976.2850000000017"/>
    <x v="117"/>
    <n v="-1.2693307977632167"/>
    <x v="6"/>
    <x v="0"/>
    <s v="Invalid"/>
  </r>
  <r>
    <s v="ORD-2024-10119"/>
    <d v="2024-06-10T00:00:00"/>
    <d v="2024-06-18T00:00:00"/>
    <s v="CUST-9135"/>
    <s v="Vikram Iyer"/>
    <x v="3"/>
    <x v="2"/>
    <s v="Andhra Pradesh"/>
    <s v="Vijayawada"/>
    <x v="2"/>
    <x v="6"/>
    <s v="Pro Copiers 208"/>
    <x v="1"/>
    <n v="5"/>
    <n v="1580.27"/>
    <n v="0.2"/>
    <n v="6321.08"/>
    <n v="4407.22"/>
    <n v="1913.86"/>
    <s v="Paid"/>
    <x v="0"/>
    <s v="OK"/>
    <s v="OK"/>
    <s v="OK"/>
    <s v="OK"/>
    <n v="8"/>
    <s v="Unique"/>
    <n v="0.2"/>
    <s v="Valid"/>
    <n v="6321.0800000000008"/>
    <x v="118"/>
    <n v="0.30277420947053357"/>
    <x v="2"/>
    <x v="0"/>
    <s v="Clean"/>
  </r>
  <r>
    <s v="ORD-2024-10120"/>
    <d v="2024-06-12T00:00:00"/>
    <d v="2024-06-19T00:00:00"/>
    <s v="CUST-7861"/>
    <s v="Aditi Sen"/>
    <x v="1"/>
    <x v="2"/>
    <s v="Kerala"/>
    <s v="Kochi"/>
    <x v="1"/>
    <x v="4"/>
    <s v="Elite Chairs 921"/>
    <x v="3"/>
    <n v="8"/>
    <n v="314.05"/>
    <n v="0.25"/>
    <n v="1884.3"/>
    <n v="1517.69"/>
    <n v="366.61"/>
    <s v="Refunded"/>
    <x v="2"/>
    <s v="OK"/>
    <s v="OK"/>
    <s v="OK"/>
    <s v="OK"/>
    <n v="7"/>
    <s v="Unique"/>
    <n v="0.25"/>
    <s v="Valid"/>
    <n v="1884.3000000000002"/>
    <x v="119"/>
    <n v="0.19456031417502526"/>
    <x v="2"/>
    <x v="0"/>
    <s v="Clean"/>
  </r>
  <r>
    <s v="ORD-2024-10121"/>
    <d v="2024-08-10T00:00:00"/>
    <d v="2024-08-18T00:00:00"/>
    <s v="CUST-6096"/>
    <s v="Sneha Kapoor"/>
    <x v="1"/>
    <x v="1"/>
    <s v="Bihar"/>
    <s v="Patna"/>
    <x v="2"/>
    <x v="11"/>
    <s v="Prime Phones 540"/>
    <x v="3"/>
    <n v="1"/>
    <n v="1823.67"/>
    <n v="0.2"/>
    <n v="1458.94"/>
    <n v="893.2"/>
    <n v="565.74"/>
    <s v="Paid"/>
    <x v="2"/>
    <s v="OK"/>
    <s v="OK"/>
    <s v="OK"/>
    <s v="OK"/>
    <n v="8"/>
    <s v="Unique"/>
    <n v="0.2"/>
    <s v="Valid"/>
    <n v="1458.9360000000001"/>
    <x v="120"/>
    <n v="0.38777300717783375"/>
    <x v="1"/>
    <x v="0"/>
    <s v="Clean"/>
  </r>
  <r>
    <s v="ORD-2025-10122"/>
    <d v="2025-08-22T00:00:00"/>
    <d v="2025-08-26T00:00:00"/>
    <s v="CUST-2044"/>
    <s v="Kabir Singh"/>
    <x v="1"/>
    <x v="2"/>
    <s v="Andhra Pradesh"/>
    <s v="Vijayawada"/>
    <x v="2"/>
    <x v="12"/>
    <s v="Max Machines 948"/>
    <x v="0"/>
    <n v="5"/>
    <n v="3482.92"/>
    <n v="0"/>
    <n v="17414.599999999999"/>
    <n v="11760.91"/>
    <n v="5653.69"/>
    <s v="Refunded"/>
    <x v="1"/>
    <s v="OK"/>
    <s v="OK"/>
    <s v="OK"/>
    <s v="OK"/>
    <n v="4"/>
    <s v="Unique"/>
    <n v="0"/>
    <s v="Valid"/>
    <n v="17414.599999999999"/>
    <x v="121"/>
    <n v="0.3246523032398102"/>
    <x v="1"/>
    <x v="1"/>
    <s v="Clean"/>
  </r>
  <r>
    <s v="ORD-2024-10123"/>
    <d v="2024-11-30T00:00:00"/>
    <d v="2024-12-04T00:00:00"/>
    <s v="CUST-1721"/>
    <s v="Ananya Rao"/>
    <x v="1"/>
    <x v="1"/>
    <s v="Assam"/>
    <s v="Guwahati"/>
    <x v="1"/>
    <x v="4"/>
    <s v="Max Chairs 786"/>
    <x v="0"/>
    <n v="3"/>
    <n v="170.35"/>
    <n v="0"/>
    <n v="511.05"/>
    <n v="367.18"/>
    <n v="143.87"/>
    <s v="Paid"/>
    <x v="0"/>
    <s v="OK"/>
    <s v="OK"/>
    <s v="OK"/>
    <s v="OK"/>
    <n v="4"/>
    <s v="Unique"/>
    <n v="0"/>
    <s v="Valid"/>
    <n v="511.04999999999995"/>
    <x v="122"/>
    <n v="0.28151844242246349"/>
    <x v="3"/>
    <x v="0"/>
    <s v="Clean"/>
  </r>
  <r>
    <s v="ORD-2024-10124"/>
    <d v="2024-05-24T00:00:00"/>
    <d v="2024-05-25T00:00:00"/>
    <s v="CUST-1007"/>
    <s v="Sneha Kapoor"/>
    <x v="1"/>
    <x v="0"/>
    <s v="Punjab"/>
    <s v="Ludhiana"/>
    <x v="2"/>
    <x v="6"/>
    <s v="Max Copiers 970"/>
    <x v="1"/>
    <n v="1"/>
    <n v="634.13"/>
    <n v="0"/>
    <n v="634.13"/>
    <n v="453.35"/>
    <n v="180.78"/>
    <s v="Refunded"/>
    <x v="1"/>
    <s v="OK"/>
    <s v="OK"/>
    <s v="OK"/>
    <s v="OK"/>
    <n v="1"/>
    <s v="Conflicting Duplicate - Manual Review Required"/>
    <n v="0"/>
    <s v="Valid"/>
    <n v="634.13"/>
    <x v="123"/>
    <n v="0.28508350022865969"/>
    <x v="4"/>
    <x v="0"/>
    <s v="Invalid"/>
  </r>
  <r>
    <s v="ORD-2024-10125"/>
    <d v="2024-07-21T00:00:00"/>
    <d v="2024-07-24T00:00:00"/>
    <s v="CUST-4450"/>
    <s v="Isha Nair"/>
    <x v="2"/>
    <x v="2"/>
    <s v="Karnataka"/>
    <s v="Bengaluru"/>
    <x v="2"/>
    <x v="6"/>
    <s v="Pro Copiers 769"/>
    <x v="3"/>
    <n v="9"/>
    <n v="465.06"/>
    <n v="-0.15"/>
    <n v="4185.54"/>
    <n v="3443.74"/>
    <n v="741.8"/>
    <s v="Paid"/>
    <x v="0"/>
    <s v="OK"/>
    <s v="OK"/>
    <s v="OK"/>
    <s v="OK"/>
    <n v="3"/>
    <s v="Unique"/>
    <n v="-0.15"/>
    <s v="Invalid: Negative Discount"/>
    <n v="4813.3709999999992"/>
    <x v="124"/>
    <n v="0.28454715001191466"/>
    <x v="0"/>
    <x v="0"/>
    <s v="Invalid"/>
  </r>
  <r>
    <s v="ORD-2025-10126"/>
    <d v="2025-07-17T00:00:00"/>
    <d v="2025-07-18T00:00:00"/>
    <s v="CUST-7924"/>
    <s v="Neha Gupta"/>
    <x v="1"/>
    <x v="3"/>
    <s v="Rajasthan"/>
    <s v="Udaipur"/>
    <x v="1"/>
    <x v="1"/>
    <s v="Basic Tables 753"/>
    <x v="1"/>
    <n v="6"/>
    <n v="3235.27"/>
    <n v="0.25"/>
    <n v="14558.72"/>
    <n v="9591.48"/>
    <n v="4967.24"/>
    <s v="Refunded"/>
    <x v="2"/>
    <s v="OK"/>
    <s v="OK"/>
    <s v="OK"/>
    <s v="OK"/>
    <n v="1"/>
    <s v="Unique"/>
    <n v="0.25"/>
    <s v="Valid"/>
    <n v="14558.715"/>
    <x v="125"/>
    <n v="0.34118636157105903"/>
    <x v="0"/>
    <x v="1"/>
    <s v="Clean"/>
  </r>
  <r>
    <s v="ORD-2025-10127"/>
    <d v="2025-09-24T00:00:00"/>
    <d v="2025-09-26T00:00:00"/>
    <s v="CUST-1715"/>
    <s v="Priya Menon"/>
    <x v="2"/>
    <x v="0"/>
    <s v="Delhi"/>
    <s v="New Delhi"/>
    <x v="2"/>
    <x v="6"/>
    <s v="Prime Copiers 651"/>
    <x v="3"/>
    <n v="3"/>
    <n v="1593.86"/>
    <n v="0.1"/>
    <n v="4303.42"/>
    <n v="2568.5700000000002"/>
    <n v="1734.85"/>
    <s v="Paid"/>
    <x v="0"/>
    <s v="OK"/>
    <s v="OK"/>
    <s v="OK"/>
    <s v="OK"/>
    <n v="2"/>
    <s v="Unique"/>
    <n v="0.1"/>
    <s v="Valid"/>
    <n v="4303.4220000000005"/>
    <x v="126"/>
    <n v="0.40313313451481175"/>
    <x v="7"/>
    <x v="1"/>
    <s v="Clean"/>
  </r>
  <r>
    <s v="ORD-2025-10128"/>
    <d v="2025-01-30T00:00:00"/>
    <d v="2025-01-26T00:00:00"/>
    <s v="CUST-6802"/>
    <s v="Priya Menon"/>
    <x v="2"/>
    <x v="3"/>
    <s v="Madhya Pradesh"/>
    <s v="Indore"/>
    <x v="0"/>
    <x v="8"/>
    <s v="Basic Storage 321"/>
    <x v="0"/>
    <n v="2"/>
    <n v="3039.3"/>
    <n v="0.05"/>
    <n v="5774.67"/>
    <n v="3518.36"/>
    <n v="2256.31"/>
    <s v="Paid"/>
    <x v="0"/>
    <s v="OK"/>
    <s v="OK"/>
    <s v="OK"/>
    <s v="Invalid: Ship Before Order"/>
    <n v="-4"/>
    <s v="Unique"/>
    <n v="0.05"/>
    <s v="Valid"/>
    <n v="5774.67"/>
    <x v="127"/>
    <n v="0.39072535746631409"/>
    <x v="10"/>
    <x v="1"/>
    <s v="Invalid"/>
  </r>
  <r>
    <s v="ORD-2024-10129"/>
    <d v="2024-12-13T00:00:00"/>
    <d v="2024-12-16T00:00:00"/>
    <s v="CUST-9328"/>
    <s v="Neha Gupta"/>
    <x v="1"/>
    <x v="1"/>
    <s v="Odisha"/>
    <s v="Bhubaneswar"/>
    <x v="1"/>
    <x v="3"/>
    <s v="Prime Furnishings 710"/>
    <x v="3"/>
    <n v="5"/>
    <n v="923.45"/>
    <n v="0.05"/>
    <n v="4386.3900000000003"/>
    <n v="3366.88"/>
    <n v="1019.51"/>
    <s v="Paid"/>
    <x v="2"/>
    <s v="OK"/>
    <s v="OK"/>
    <s v="OK"/>
    <s v="OK"/>
    <n v="3"/>
    <s v="Unique"/>
    <n v="0.05"/>
    <s v="Valid"/>
    <n v="4386.3874999999998"/>
    <x v="128"/>
    <n v="0.2324253158208206"/>
    <x v="8"/>
    <x v="0"/>
    <s v="Clean"/>
  </r>
  <r>
    <s v="ORD-2024-10130"/>
    <d v="2024-07-19T00:00:00"/>
    <d v="2024-07-25T00:00:00"/>
    <s v="CUST-2588"/>
    <s v="Isha Nair"/>
    <x v="1"/>
    <x v="3"/>
    <s v="Goa"/>
    <s v="Panaji"/>
    <x v="0"/>
    <x v="9"/>
    <s v="Elite Binders 723"/>
    <x v="3"/>
    <n v="7"/>
    <n v="2741.29"/>
    <n v="0.05"/>
    <n v="18229.580000000002"/>
    <n v="15139.15"/>
    <n v="3090.43"/>
    <s v="Paid"/>
    <x v="0"/>
    <s v="OK"/>
    <s v="OK"/>
    <s v="OK"/>
    <s v="OK"/>
    <n v="6"/>
    <s v="Unique"/>
    <n v="0.05"/>
    <s v="Valid"/>
    <n v="18229.5785"/>
    <x v="129"/>
    <n v="0.16952824773211295"/>
    <x v="0"/>
    <x v="0"/>
    <s v="Clean"/>
  </r>
  <r>
    <s v="ORD-2024-10131"/>
    <d v="2024-01-27T00:00:00"/>
    <d v="2024-02-02T00:00:00"/>
    <s v="CUST-5435"/>
    <s v="Arjun Bose"/>
    <x v="0"/>
    <x v="3"/>
    <s v="Gujarat"/>
    <s v="Ahmedabad"/>
    <x v="0"/>
    <x v="7"/>
    <s v="Smart Labels 878"/>
    <x v="1"/>
    <n v="5"/>
    <n v="218.42"/>
    <n v="0.2"/>
    <n v="873.68"/>
    <n v="661.72"/>
    <n v="211.96"/>
    <s v="Pending"/>
    <x v="1"/>
    <s v="OK"/>
    <s v="OK"/>
    <s v="OK"/>
    <s v="OK"/>
    <n v="6"/>
    <s v="Unique"/>
    <n v="0.2"/>
    <s v="Valid"/>
    <n v="873.68"/>
    <x v="130"/>
    <n v="0.24260598846259493"/>
    <x v="10"/>
    <x v="0"/>
    <s v="Clean"/>
  </r>
  <r>
    <s v="ORD-2025-10132"/>
    <d v="2025-09-29T00:00:00"/>
    <d v="2025-10-04T00:00:00"/>
    <s v="CUST-7637"/>
    <s v="Ananya Rao"/>
    <x v="3"/>
    <x v="1"/>
    <s v="Jharkhand"/>
    <s v="Ranchi"/>
    <x v="0"/>
    <x v="0"/>
    <s v="Pro Paper 934"/>
    <x v="1"/>
    <n v="9"/>
    <n v="373.91"/>
    <n v="0.2"/>
    <n v="2692.15"/>
    <n v="2044.49"/>
    <n v="647.66"/>
    <s v="Paid"/>
    <x v="0"/>
    <s v="OK"/>
    <s v="OK"/>
    <s v="OK"/>
    <s v="OK"/>
    <n v="5"/>
    <s v="Unique"/>
    <n v="0.2"/>
    <s v="Valid"/>
    <n v="2692.152"/>
    <x v="131"/>
    <n v="0.24057408348414205"/>
    <x v="7"/>
    <x v="1"/>
    <s v="Clean"/>
  </r>
  <r>
    <s v="ORD-2024-10133"/>
    <d v="2024-11-04T00:00:00"/>
    <d v="2024-11-04T00:00:00"/>
    <s v="CUST-3602"/>
    <s v="Kabir Singh"/>
    <x v="2"/>
    <x v="1"/>
    <s v="Assam"/>
    <s v="Guwahati"/>
    <x v="2"/>
    <x v="12"/>
    <s v="Classic Machines 886"/>
    <x v="2"/>
    <n v="2"/>
    <n v="533.08000000000004"/>
    <n v="0"/>
    <n v="1066.1600000000001"/>
    <n v="656.3"/>
    <n v="409.86"/>
    <s v="Failed"/>
    <x v="1"/>
    <s v="OK"/>
    <s v="OK"/>
    <s v="OK"/>
    <s v="OK"/>
    <n v="0"/>
    <s v="Unique"/>
    <n v="0"/>
    <s v="Valid"/>
    <n v="1066.1600000000001"/>
    <x v="132"/>
    <n v="0.38442635251744589"/>
    <x v="3"/>
    <x v="0"/>
    <s v="Clean"/>
  </r>
  <r>
    <s v="ORD-2024-10134"/>
    <d v="2024-12-13T00:00:00"/>
    <d v="2024-12-18T00:00:00"/>
    <s v="CUST-9441"/>
    <s v="Karan Malhotra"/>
    <x v="0"/>
    <x v="3"/>
    <s v="Goa"/>
    <s v="Panaji"/>
    <x v="2"/>
    <x v="11"/>
    <s v="Prime Phones 419"/>
    <x v="0"/>
    <n v="8"/>
    <n v="3372.15"/>
    <n v="0.15"/>
    <n v="22930.62"/>
    <n v="16875.55"/>
    <n v="6055.07"/>
    <s v="Paid"/>
    <x v="0"/>
    <s v="OK"/>
    <s v="OK"/>
    <s v="OK"/>
    <s v="OK"/>
    <n v="5"/>
    <s v="Unique"/>
    <n v="0.15"/>
    <s v="Valid"/>
    <n v="22930.62"/>
    <x v="133"/>
    <n v="0.26406045715292475"/>
    <x v="8"/>
    <x v="0"/>
    <s v="Clean"/>
  </r>
  <r>
    <s v="ORD-2025-10135"/>
    <d v="2025-07-14T00:00:00"/>
    <d v="2025-07-14T00:00:00"/>
    <s v="CUST-7361"/>
    <s v="Vikram Iyer"/>
    <x v="3"/>
    <x v="1"/>
    <s v="West Bengal"/>
    <s v="Kolkata"/>
    <x v="1"/>
    <x v="10"/>
    <s v="Elite Bookcases 266"/>
    <x v="4"/>
    <n v="5"/>
    <n v="383.1"/>
    <n v="0.25"/>
    <n v="1436.62"/>
    <n v="912.52"/>
    <n v="524.1"/>
    <s v="Pending"/>
    <x v="1"/>
    <s v="OK"/>
    <s v="OK"/>
    <s v="OK"/>
    <s v="OK"/>
    <n v="0"/>
    <s v="Unique"/>
    <n v="0.25"/>
    <s v="Valid"/>
    <n v="1436.625"/>
    <x v="134"/>
    <n v="0.36481684503610895"/>
    <x v="0"/>
    <x v="1"/>
    <s v="Warning"/>
  </r>
  <r>
    <s v="ORD-2025-10136"/>
    <d v="2025-08-24T00:00:00"/>
    <d v="2025-08-24T00:00:00"/>
    <s v="CUST-1148"/>
    <s v="Diya Patel"/>
    <x v="1"/>
    <x v="2"/>
    <s v="Kerala"/>
    <s v="Kochi"/>
    <x v="1"/>
    <x v="10"/>
    <s v="Prime Bookcases 954"/>
    <x v="3"/>
    <n v="1"/>
    <n v="3424.78"/>
    <n v="0"/>
    <n v="3424.78"/>
    <n v="1951.45"/>
    <n v="1473.33"/>
    <s v="Paid"/>
    <x v="0"/>
    <s v="OK"/>
    <s v="OK"/>
    <s v="OK"/>
    <s v="OK"/>
    <n v="0"/>
    <s v="Unique"/>
    <n v="0"/>
    <s v="Valid"/>
    <n v="3424.78"/>
    <x v="135"/>
    <n v="0.43019697615613267"/>
    <x v="1"/>
    <x v="1"/>
    <s v="Clean"/>
  </r>
  <r>
    <s v="ORD-2025-10137"/>
    <d v="2025-02-09T00:00:00"/>
    <d v="2025-02-15T00:00:00"/>
    <s v="CUST-3350"/>
    <s v="Mira Das"/>
    <x v="3"/>
    <x v="1"/>
    <s v="Jharkhand"/>
    <s v="Ranchi"/>
    <x v="0"/>
    <x v="9"/>
    <s v="Max Binders 362"/>
    <x v="3"/>
    <n v="9"/>
    <n v="4330.33"/>
    <n v="0.2"/>
    <n v="31178.38"/>
    <n v="21421.09"/>
    <n v="9757.2900000000009"/>
    <s v="Paid"/>
    <x v="0"/>
    <s v="OK"/>
    <s v="OK"/>
    <s v="OK"/>
    <s v="OK"/>
    <n v="6"/>
    <s v="Unique"/>
    <n v="0.2"/>
    <s v="Valid"/>
    <n v="31178.376000000004"/>
    <x v="136"/>
    <n v="0.31295042435821552"/>
    <x v="6"/>
    <x v="1"/>
    <s v="Clean"/>
  </r>
  <r>
    <s v="ORD-2025-10138"/>
    <d v="2025-01-09T00:00:00"/>
    <d v="2025-01-09T00:00:00"/>
    <s v="CUST-7932"/>
    <s v="Sneha Kapoor"/>
    <x v="1"/>
    <x v="0"/>
    <s v="Rajasthan"/>
    <s v="Jaipur"/>
    <x v="1"/>
    <x v="4"/>
    <s v="Prime Chairs 261"/>
    <x v="1"/>
    <n v="8"/>
    <n v="2667.07"/>
    <n v="0.1"/>
    <n v="19202.900000000001"/>
    <n v="15526.62"/>
    <n v="3676.28"/>
    <s v="Paid"/>
    <x v="0"/>
    <s v="OK"/>
    <s v="OK"/>
    <s v="OK"/>
    <s v="OK"/>
    <n v="0"/>
    <s v="Unique"/>
    <n v="0.1"/>
    <s v="Valid"/>
    <n v="19202.904000000002"/>
    <x v="137"/>
    <n v="0.19144416906942829"/>
    <x v="10"/>
    <x v="1"/>
    <s v="Clean"/>
  </r>
  <r>
    <s v="ORD-2024-10139"/>
    <d v="2024-01-20T00:00:00"/>
    <d v="2024-01-26T00:00:00"/>
    <s v="CUST-7173"/>
    <s v="Diya Patel"/>
    <x v="3"/>
    <x v="1"/>
    <s v="Jharkhand"/>
    <s v="Ranchi"/>
    <x v="2"/>
    <x v="12"/>
    <s v="Basic Machines 185"/>
    <x v="3"/>
    <n v="8"/>
    <n v="4003.05"/>
    <n v="0.25"/>
    <n v="24018.3"/>
    <n v="14070.78"/>
    <n v="9947.52"/>
    <s v="Paid"/>
    <x v="0"/>
    <s v="OK"/>
    <s v="OK"/>
    <s v="OK"/>
    <s v="OK"/>
    <n v="6"/>
    <s v="Unique"/>
    <n v="0.25"/>
    <s v="Valid"/>
    <n v="24018.300000000003"/>
    <x v="138"/>
    <n v="0.41416419979765434"/>
    <x v="10"/>
    <x v="0"/>
    <s v="Clean"/>
  </r>
  <r>
    <s v="ORD-2025-10140"/>
    <d v="2025-03-02T00:00:00"/>
    <d v="2025-03-07T00:00:00"/>
    <s v="CUST-4225"/>
    <s v="Neha Gupta"/>
    <x v="3"/>
    <x v="2"/>
    <s v="Karnataka"/>
    <s v="Bengaluru"/>
    <x v="0"/>
    <x v="7"/>
    <s v="Basic Labels 509"/>
    <x v="3"/>
    <n v="8"/>
    <n v="1287.6300000000001"/>
    <n v="0"/>
    <n v="10301.040000000001"/>
    <n v="6564.06"/>
    <n v="3736.98"/>
    <s v="Paid"/>
    <x v="0"/>
    <s v="OK"/>
    <s v="OK"/>
    <s v="OK"/>
    <s v="OK"/>
    <n v="5"/>
    <s v="Unique"/>
    <n v="0"/>
    <s v="Valid"/>
    <n v="10301.040000000001"/>
    <x v="139"/>
    <n v="0.3627769623261341"/>
    <x v="11"/>
    <x v="1"/>
    <s v="Clean"/>
  </r>
  <r>
    <s v="ORD-2024-10141"/>
    <d v="2024-05-31T00:00:00"/>
    <d v="2024-06-01T00:00:00"/>
    <s v="CUST-2149"/>
    <s v="Mira Das"/>
    <x v="2"/>
    <x v="2"/>
    <s v="Karnataka"/>
    <s v="Bengaluru"/>
    <x v="1"/>
    <x v="10"/>
    <s v="Elite Bookcases 696"/>
    <x v="1"/>
    <n v="3"/>
    <n v="2914.55"/>
    <n v="0"/>
    <n v="8743.65"/>
    <n v="6603.76"/>
    <n v="2139.89"/>
    <s v="Paid"/>
    <x v="0"/>
    <s v="OK"/>
    <s v="OK"/>
    <s v="OK"/>
    <s v="OK"/>
    <n v="1"/>
    <s v="Unique"/>
    <n v="0"/>
    <s v="Valid"/>
    <n v="8743.6500000000015"/>
    <x v="140"/>
    <n v="0.24473646589239059"/>
    <x v="4"/>
    <x v="0"/>
    <s v="Clean"/>
  </r>
  <r>
    <s v="ORD-2024-10142"/>
    <d v="2024-03-23T00:00:00"/>
    <d v="2024-03-29T00:00:00"/>
    <s v="CUST-3314"/>
    <s v="Priya Menon"/>
    <x v="2"/>
    <x v="0"/>
    <s v="Delhi"/>
    <s v="New Delhi"/>
    <x v="1"/>
    <x v="10"/>
    <s v="Elite Bookcases 772"/>
    <x v="1"/>
    <n v="7"/>
    <n v="634.29"/>
    <n v="0.1"/>
    <n v="3996.03"/>
    <n v="2859.51"/>
    <n v="1136.52"/>
    <s v="Paid"/>
    <x v="2"/>
    <s v="OK"/>
    <s v="OK"/>
    <s v="OK"/>
    <s v="OK"/>
    <n v="6"/>
    <s v="Unique"/>
    <n v="0.1"/>
    <s v="Valid"/>
    <n v="3996.027"/>
    <x v="141"/>
    <n v="0.28441174196270441"/>
    <x v="11"/>
    <x v="0"/>
    <s v="Clean"/>
  </r>
  <r>
    <s v="ORD-2024-10143"/>
    <d v="2024-03-30T00:00:00"/>
    <d v="2024-03-26T00:00:00"/>
    <s v="CUST-8944"/>
    <s v="Aditi Sen"/>
    <x v="3"/>
    <x v="0"/>
    <s v="Rajasthan"/>
    <s v="Jaipur"/>
    <x v="2"/>
    <x v="11"/>
    <s v="Classic Phones 142"/>
    <x v="0"/>
    <n v="5"/>
    <n v="907.54"/>
    <n v="0.15"/>
    <n v="3857.04"/>
    <n v="2769.26"/>
    <n v="1087.78"/>
    <s v="Paid"/>
    <x v="0"/>
    <s v="OK"/>
    <s v="OK"/>
    <s v="OK"/>
    <s v="Invalid: Ship Before Order"/>
    <n v="-4"/>
    <s v="Conflicting Duplicate - Manual Review Required"/>
    <n v="0.15"/>
    <s v="Valid"/>
    <n v="3857.0449999999996"/>
    <x v="142"/>
    <n v="0.28202548842442843"/>
    <x v="11"/>
    <x v="0"/>
    <s v="Invalid"/>
  </r>
  <r>
    <s v="ORD-2024-10144"/>
    <d v="2024-03-24T00:00:00"/>
    <d v="2024-03-26T00:00:00"/>
    <s v="CUST-3144"/>
    <s v="Priya Menon"/>
    <x v="0"/>
    <x v="3"/>
    <s v="Gujarat"/>
    <s v="Ahmedabad"/>
    <x v="0"/>
    <x v="0"/>
    <s v="Pro Paper 575"/>
    <x v="0"/>
    <n v="1"/>
    <n v="3409.5"/>
    <n v="0.1"/>
    <n v="3068.55"/>
    <n v="1916.16"/>
    <n v="1152.3900000000001"/>
    <s v="Paid"/>
    <x v="2"/>
    <s v="OK"/>
    <s v="OK"/>
    <s v="OK"/>
    <s v="OK"/>
    <n v="2"/>
    <s v="Unique"/>
    <n v="0.1"/>
    <s v="Valid"/>
    <n v="3068.55"/>
    <x v="143"/>
    <n v="0.3755487119323459"/>
    <x v="11"/>
    <x v="0"/>
    <s v="Clean"/>
  </r>
  <r>
    <s v="ORD-2024-10145"/>
    <d v="2024-06-07T00:00:00"/>
    <d v="2024-06-15T00:00:00"/>
    <s v="CUST-6747"/>
    <s v="Kabir Singh"/>
    <x v="1"/>
    <x v="2"/>
    <s v="Telangana"/>
    <s v="Hyderabad"/>
    <x v="2"/>
    <x v="5"/>
    <s v="Elite Accessories 905"/>
    <x v="2"/>
    <n v="7"/>
    <n v="2147.9899999999998"/>
    <n v="0.25"/>
    <n v="11276.95"/>
    <n v="6908.76"/>
    <n v="4368.1899999999996"/>
    <s v="Refunded"/>
    <x v="2"/>
    <s v="OK"/>
    <s v="OK"/>
    <s v="OK"/>
    <s v="OK"/>
    <n v="8"/>
    <s v="Unique"/>
    <n v="0.25"/>
    <s v="Valid"/>
    <n v="11276.947499999998"/>
    <x v="144"/>
    <n v="0.38735548782150481"/>
    <x v="2"/>
    <x v="0"/>
    <s v="Clean"/>
  </r>
  <r>
    <s v="ORD-2025-10146"/>
    <d v="2025-04-11T00:00:00"/>
    <d v="2025-04-13T00:00:00"/>
    <s v="CUST-6161"/>
    <s v="Mira Das"/>
    <x v="1"/>
    <x v="3"/>
    <s v="Goa"/>
    <s v="Panaji"/>
    <x v="0"/>
    <x v="0"/>
    <s v="Smart Paper 899"/>
    <x v="3"/>
    <n v="4"/>
    <n v="4182.1499999999996"/>
    <n v="0.1"/>
    <n v="15055.74"/>
    <n v="9808.83"/>
    <n v="5246.91"/>
    <s v="Paid"/>
    <x v="0"/>
    <s v="OK"/>
    <s v="OK"/>
    <s v="OK"/>
    <s v="OK"/>
    <n v="2"/>
    <s v="Unique"/>
    <n v="0.1"/>
    <s v="Valid"/>
    <n v="15055.74"/>
    <x v="145"/>
    <n v="0.34849897779850075"/>
    <x v="5"/>
    <x v="1"/>
    <s v="Clean"/>
  </r>
  <r>
    <s v="ORD-2025-10147"/>
    <d v="2025-07-30T00:00:00"/>
    <d v="2025-08-01T00:00:00"/>
    <s v="CUST-1460"/>
    <s v="Sneha Kapoor"/>
    <x v="1"/>
    <x v="2"/>
    <s v="Tamil Nadu"/>
    <s v="Chennai"/>
    <x v="0"/>
    <x v="8"/>
    <s v="Classic Storage 423"/>
    <x v="1"/>
    <n v="9"/>
    <n v="3165.43"/>
    <n v="0.1"/>
    <n v="25639.98"/>
    <n v="21635.08"/>
    <n v="4004.9"/>
    <s v="Paid"/>
    <x v="0"/>
    <s v="OK"/>
    <s v="OK"/>
    <s v="OK"/>
    <s v="OK"/>
    <n v="2"/>
    <s v="Unique"/>
    <n v="0.1"/>
    <s v="Valid"/>
    <n v="25639.983"/>
    <x v="146"/>
    <n v="0.1561975684617263"/>
    <x v="0"/>
    <x v="1"/>
    <s v="Clean"/>
  </r>
  <r>
    <s v="ORD-2024-10148"/>
    <d v="2024-12-23T00:00:00"/>
    <d v="2024-12-30T00:00:00"/>
    <s v="CUST-2692"/>
    <s v="Priya Menon"/>
    <x v="3"/>
    <x v="3"/>
    <s v="Goa"/>
    <s v="Panaji"/>
    <x v="1"/>
    <x v="3"/>
    <s v="Classic Furnishings 743"/>
    <x v="2"/>
    <n v="8"/>
    <n v="386.1"/>
    <n v="0.1"/>
    <n v="2779.92"/>
    <n v="1744.05"/>
    <n v="1035.8699999999999"/>
    <s v="Paid"/>
    <x v="0"/>
    <s v="OK"/>
    <s v="OK"/>
    <s v="OK"/>
    <s v="OK"/>
    <n v="7"/>
    <s v="Unique"/>
    <n v="0.1"/>
    <s v="Valid"/>
    <n v="2779.92"/>
    <x v="147"/>
    <n v="0.37262583095916435"/>
    <x v="8"/>
    <x v="0"/>
    <s v="Clean"/>
  </r>
  <r>
    <s v="ORD-2025-10149"/>
    <d v="2025-02-09T00:00:00"/>
    <d v="2025-02-13T00:00:00"/>
    <s v="CUST-2822"/>
    <s v="Mira Das"/>
    <x v="3"/>
    <x v="3"/>
    <s v="Madhya Pradesh"/>
    <s v="Indore"/>
    <x v="2"/>
    <x v="11"/>
    <s v="Smart Phones 336"/>
    <x v="4"/>
    <n v="8"/>
    <n v="1696.07"/>
    <n v="0.25"/>
    <n v="10176.42"/>
    <n v="7604.47"/>
    <n v="2571.9499999999998"/>
    <s v="Paid"/>
    <x v="0"/>
    <s v="OK"/>
    <s v="OK"/>
    <s v="OK"/>
    <s v="OK"/>
    <n v="4"/>
    <s v="Unique"/>
    <n v="0.25"/>
    <s v="Valid"/>
    <n v="10176.42"/>
    <x v="148"/>
    <n v="0.252736227474888"/>
    <x v="6"/>
    <x v="1"/>
    <s v="Warning"/>
  </r>
  <r>
    <s v="ORD-2024-10150"/>
    <d v="2024-01-30T00:00:00"/>
    <d v="2024-01-30T00:00:00"/>
    <s v="CUST-5876"/>
    <s v="Aarav Sharma"/>
    <x v="1"/>
    <x v="3"/>
    <s v="Rajasthan"/>
    <s v="Udaipur"/>
    <x v="2"/>
    <x v="6"/>
    <s v="Eco Copiers 381"/>
    <x v="1"/>
    <n v="7"/>
    <n v="2527.61"/>
    <n v="0.25"/>
    <n v="13269.95"/>
    <n v="8977.1"/>
    <n v="4292.8500000000004"/>
    <s v="Paid"/>
    <x v="0"/>
    <s v="OK"/>
    <s v="OK"/>
    <s v="OK"/>
    <s v="OK"/>
    <n v="0"/>
    <s v="Unique"/>
    <n v="0.25"/>
    <s v="Valid"/>
    <n v="13269.952499999999"/>
    <x v="149"/>
    <n v="0.32350172315989822"/>
    <x v="10"/>
    <x v="0"/>
    <s v="Clean"/>
  </r>
  <r>
    <s v="ORD-2024-10151"/>
    <d v="2024-03-04T00:00:00"/>
    <d v="2024-03-12T00:00:00"/>
    <s v="CUST-4661"/>
    <s v="Arjun Bose"/>
    <x v="0"/>
    <x v="4"/>
    <s v="Gujarat"/>
    <s v="Ahmedabad"/>
    <x v="1"/>
    <x v="10"/>
    <s v="Max Bookcases 595"/>
    <x v="2"/>
    <n v="1"/>
    <n v="1554.12"/>
    <n v="0.1"/>
    <n v="1398.71"/>
    <n v="1056.92"/>
    <n v="341.79"/>
    <s v="Paid"/>
    <x v="0"/>
    <s v="OK"/>
    <s v="OK"/>
    <s v="OK"/>
    <s v="OK"/>
    <n v="8"/>
    <s v="Unique"/>
    <n v="0.1"/>
    <s v="Valid"/>
    <n v="1398.7079999999999"/>
    <x v="150"/>
    <n v="0.24435979489643286"/>
    <x v="11"/>
    <x v="0"/>
    <s v="Warning"/>
  </r>
  <r>
    <s v="ORD-2024-10152"/>
    <d v="2024-06-27T00:00:00"/>
    <d v="2024-06-27T00:00:00"/>
    <s v="CUST-6011"/>
    <s v="Neha Gupta"/>
    <x v="3"/>
    <x v="4"/>
    <s v="Madhya Pradesh"/>
    <s v="Indore"/>
    <x v="2"/>
    <x v="6"/>
    <s v="Max Copiers 992"/>
    <x v="3"/>
    <n v="2"/>
    <n v="3859.11"/>
    <n v="0"/>
    <n v="7718.22"/>
    <n v="5355.93"/>
    <n v="2362.29"/>
    <s v="Pending"/>
    <x v="2"/>
    <s v="OK"/>
    <s v="OK"/>
    <s v="OK"/>
    <s v="OK"/>
    <n v="0"/>
    <s v="Unique"/>
    <n v="0"/>
    <s v="Valid"/>
    <n v="7718.22"/>
    <x v="151"/>
    <n v="0.30606668376905555"/>
    <x v="2"/>
    <x v="0"/>
    <s v="Warning"/>
  </r>
  <r>
    <s v="ORD-2024-10153"/>
    <d v="2024-06-14T00:00:00"/>
    <d v="2024-06-17T00:00:00"/>
    <s v="CUST-6160"/>
    <s v="Kabir Singh"/>
    <x v="1"/>
    <x v="2"/>
    <s v="Kerala"/>
    <s v="Kochi"/>
    <x v="1"/>
    <x v="1"/>
    <s v="Pro Tables 407"/>
    <x v="0"/>
    <n v="6"/>
    <n v="1088.04"/>
    <n v="0.1"/>
    <n v="5875.42"/>
    <n v="4380.55"/>
    <n v="1494.87"/>
    <s v="Pending"/>
    <x v="2"/>
    <s v="OK"/>
    <s v="OK"/>
    <s v="OK"/>
    <s v="OK"/>
    <n v="3"/>
    <s v="Unique"/>
    <n v="0.1"/>
    <s v="Valid"/>
    <n v="5875.4160000000002"/>
    <x v="152"/>
    <n v="0.25442726098032886"/>
    <x v="2"/>
    <x v="0"/>
    <s v="Clean"/>
  </r>
  <r>
    <s v="ORD-2025-10154"/>
    <d v="2025-09-23T00:00:00"/>
    <d v="2025-09-25T00:00:00"/>
    <s v="CUST-6971"/>
    <s v="Aditi Sen"/>
    <x v="0"/>
    <x v="1"/>
    <s v="Odisha"/>
    <s v="Bhubaneswar"/>
    <x v="0"/>
    <x v="7"/>
    <s v="Prime Labels 559"/>
    <x v="3"/>
    <n v="7"/>
    <n v="3280.31"/>
    <n v="0"/>
    <n v="22962.17"/>
    <n v="15716.5"/>
    <n v="7245.67"/>
    <s v="Refunded"/>
    <x v="2"/>
    <s v="OK"/>
    <s v="OK"/>
    <s v="OK"/>
    <s v="OK"/>
    <n v="2"/>
    <s v="Unique"/>
    <n v="0"/>
    <s v="Valid"/>
    <n v="22962.17"/>
    <x v="153"/>
    <n v="0.31554813852523517"/>
    <x v="7"/>
    <x v="1"/>
    <s v="Clean"/>
  </r>
  <r>
    <s v="ORD-2024-10155"/>
    <d v="2024-02-12T00:00:00"/>
    <d v="2024-02-11T00:00:00"/>
    <s v="CUST-7764"/>
    <s v="Priya Menon"/>
    <x v="0"/>
    <x v="2"/>
    <s v="Tamil Nadu"/>
    <s v="Chennai"/>
    <x v="1"/>
    <x v="10"/>
    <s v="Classic Bookcases 847"/>
    <x v="1"/>
    <n v="1"/>
    <n v="2599.12"/>
    <n v="0.15"/>
    <n v="2209.25"/>
    <n v="1523.78"/>
    <n v="685.47"/>
    <s v="Paid"/>
    <x v="0"/>
    <s v="OK"/>
    <s v="OK"/>
    <s v="OK"/>
    <s v="Invalid: Ship Before Order"/>
    <n v="-1"/>
    <s v="Unique"/>
    <n v="0.15"/>
    <s v="Valid"/>
    <n v="2209.252"/>
    <x v="154"/>
    <n v="0.31027334138432372"/>
    <x v="6"/>
    <x v="0"/>
    <s v="Invalid"/>
  </r>
  <r>
    <s v="ORD-2025-10156"/>
    <d v="2025-01-26T00:00:00"/>
    <d v="2025-02-03T00:00:00"/>
    <s v="CUST-8327"/>
    <s v="Karan Malhotra"/>
    <x v="2"/>
    <x v="3"/>
    <s v="Rajasthan"/>
    <s v="Udaipur"/>
    <x v="1"/>
    <x v="3"/>
    <s v="Classic Furnishings 655"/>
    <x v="1"/>
    <n v="3"/>
    <n v="2859.32"/>
    <n v="0.1"/>
    <n v="7720.16"/>
    <n v="5881"/>
    <n v="1839.16"/>
    <s v="Refunded"/>
    <x v="2"/>
    <s v="OK"/>
    <s v="OK"/>
    <s v="OK"/>
    <s v="OK"/>
    <n v="8"/>
    <s v="Unique"/>
    <n v="0.1"/>
    <s v="Valid"/>
    <n v="7720.1640000000007"/>
    <x v="155"/>
    <n v="0.23822861794127695"/>
    <x v="10"/>
    <x v="1"/>
    <s v="Clean"/>
  </r>
  <r>
    <s v="ORD-2025-10157"/>
    <d v="2025-03-27T00:00:00"/>
    <d v="2025-03-27T00:00:00"/>
    <s v="CUST-4058"/>
    <s v="Vikram Iyer"/>
    <x v="1"/>
    <x v="1"/>
    <s v="Bihar"/>
    <s v="Patna"/>
    <x v="2"/>
    <x v="12"/>
    <s v="Eco Machines 657"/>
    <x v="0"/>
    <n v="7"/>
    <n v="2305.37"/>
    <n v="0.25"/>
    <n v="12103.19"/>
    <n v="6717.87"/>
    <n v="5385.32"/>
    <s v="Paid"/>
    <x v="0"/>
    <s v="OK"/>
    <s v="OK"/>
    <s v="OK"/>
    <s v="OK"/>
    <n v="0"/>
    <s v="Unique"/>
    <n v="0.25"/>
    <s v="Valid"/>
    <n v="12103.192500000001"/>
    <x v="156"/>
    <n v="0.44495057812225997"/>
    <x v="11"/>
    <x v="1"/>
    <s v="Clean"/>
  </r>
  <r>
    <s v="ORD-2024-10158"/>
    <d v="2024-10-22T00:00:00"/>
    <d v="2024-10-24T00:00:00"/>
    <s v="CUST-1142"/>
    <s v="Rohan Mehta"/>
    <x v="1"/>
    <x v="2"/>
    <s v="Andhra Pradesh"/>
    <s v="Vijayawada"/>
    <x v="1"/>
    <x v="10"/>
    <s v="Pro Bookcases 430"/>
    <x v="3"/>
    <n v="3"/>
    <n v="915.84"/>
    <n v="0.15"/>
    <n v="2335.39"/>
    <n v="1466.15"/>
    <n v="869.24"/>
    <s v="Paid"/>
    <x v="0"/>
    <s v="OK"/>
    <s v="OK"/>
    <s v="OK"/>
    <s v="OK"/>
    <n v="2"/>
    <s v="Unique"/>
    <n v="0.15"/>
    <s v="Valid"/>
    <n v="2335.3919999999998"/>
    <x v="157"/>
    <n v="0.3722038955344541"/>
    <x v="9"/>
    <x v="0"/>
    <s v="Clean"/>
  </r>
  <r>
    <s v="ORD-2024-10159"/>
    <d v="2024-09-09T00:00:00"/>
    <d v="2024-09-11T00:00:00"/>
    <s v="CUST-2324"/>
    <s v="Neha Gupta"/>
    <x v="3"/>
    <x v="2"/>
    <s v="Telangana"/>
    <s v="Hyderabad"/>
    <x v="1"/>
    <x v="10"/>
    <s v="Max Bookcases 881"/>
    <x v="2"/>
    <n v="1"/>
    <n v="4199.54"/>
    <n v="0.05"/>
    <n v="3989.56"/>
    <n v="2381.38"/>
    <n v="1608.18"/>
    <s v="Paid"/>
    <x v="0"/>
    <s v="OK"/>
    <s v="OK"/>
    <s v="OK"/>
    <s v="OK"/>
    <n v="2"/>
    <s v="Unique"/>
    <n v="0.05"/>
    <s v="Valid"/>
    <n v="3989.5629999999996"/>
    <x v="158"/>
    <n v="0.40309753223598666"/>
    <x v="7"/>
    <x v="0"/>
    <s v="Clean"/>
  </r>
  <r>
    <s v="ORD-2025-10160"/>
    <d v="2025-01-30T00:00:00"/>
    <d v="2025-02-04T00:00:00"/>
    <s v="CUST-7717"/>
    <s v="Priya Menon"/>
    <x v="2"/>
    <x v="0"/>
    <s v="Haryana"/>
    <s v="Gurugram"/>
    <x v="1"/>
    <x v="4"/>
    <s v="Elite Chairs 998"/>
    <x v="1"/>
    <n v="9"/>
    <n v="4430.5"/>
    <n v="0.15"/>
    <n v="33893.32"/>
    <n v="25750.35"/>
    <n v="8142.97"/>
    <s v="Pending"/>
    <x v="1"/>
    <s v="OK"/>
    <s v="OK"/>
    <s v="OK"/>
    <s v="OK"/>
    <n v="5"/>
    <s v="Unique"/>
    <n v="0.15"/>
    <s v="Valid"/>
    <n v="33893.324999999997"/>
    <x v="159"/>
    <n v="0.24025305867748292"/>
    <x v="10"/>
    <x v="1"/>
    <s v="Clean"/>
  </r>
  <r>
    <s v="ORD-2025-10161"/>
    <d v="2025-10-08T00:00:00"/>
    <d v="2025-10-06T00:00:00"/>
    <s v="CUST-4932"/>
    <s v="Vikram Iyer"/>
    <x v="1"/>
    <x v="3"/>
    <s v="Maharashtra"/>
    <s v="Mumbai"/>
    <x v="0"/>
    <x v="0"/>
    <s v="Max Paper 113"/>
    <x v="0"/>
    <n v="4"/>
    <n v="1260.42"/>
    <n v="0.05"/>
    <n v="4789.6000000000004"/>
    <n v="4037.64"/>
    <n v="751.96"/>
    <s v="Pending"/>
    <x v="1"/>
    <s v="OK"/>
    <s v="OK"/>
    <s v="OK"/>
    <s v="Invalid: Ship Before Order"/>
    <n v="-2"/>
    <s v="Unique"/>
    <n v="0.05"/>
    <s v="Valid"/>
    <n v="4789.5960000000005"/>
    <x v="160"/>
    <n v="0.1569977927157114"/>
    <x v="9"/>
    <x v="1"/>
    <s v="Invalid"/>
  </r>
  <r>
    <s v="ORD-2025-10162"/>
    <d v="2025-07-24T00:00:00"/>
    <d v="2025-07-30T00:00:00"/>
    <s v="CUST-2367"/>
    <s v="Arjun Bose"/>
    <x v="0"/>
    <x v="3"/>
    <s v="Rajasthan"/>
    <s v="Udaipur"/>
    <x v="0"/>
    <x v="9"/>
    <s v="Smart Binders 267"/>
    <x v="3"/>
    <n v="1"/>
    <n v="1643.41"/>
    <n v="0"/>
    <n v="1643.41"/>
    <n v="907.4"/>
    <n v="736.01"/>
    <s v="Pending"/>
    <x v="1"/>
    <s v="OK"/>
    <s v="OK"/>
    <s v="OK"/>
    <s v="OK"/>
    <n v="6"/>
    <s v="Unique"/>
    <n v="0"/>
    <s v="Valid"/>
    <n v="1643.41"/>
    <x v="161"/>
    <n v="0.44785537388722235"/>
    <x v="0"/>
    <x v="1"/>
    <s v="Clean"/>
  </r>
  <r>
    <s v="ORD-2024-10163"/>
    <d v="2024-03-09T00:00:00"/>
    <d v="2024-03-14T00:00:00"/>
    <s v="CUST-4830"/>
    <s v="Neha Gupta"/>
    <x v="1"/>
    <x v="3"/>
    <s v="Goa"/>
    <s v="Panaji"/>
    <x v="1"/>
    <x v="3"/>
    <s v="Pro Furnishings 108"/>
    <x v="0"/>
    <n v="8"/>
    <n v="4472.84"/>
    <n v="0"/>
    <n v="35997.620000000003"/>
    <n v="26424.41"/>
    <n v="9358.31"/>
    <s v="Pending"/>
    <x v="2"/>
    <s v="OK"/>
    <s v="OK"/>
    <s v="OK"/>
    <s v="OK"/>
    <n v="5"/>
    <s v="Unique"/>
    <n v="0"/>
    <s v="Valid"/>
    <n v="35782.720000000001"/>
    <x v="162"/>
    <n v="0.2615315437171909"/>
    <x v="11"/>
    <x v="0"/>
    <s v="Clean"/>
  </r>
  <r>
    <s v="ORD-2025-10164"/>
    <d v="2025-09-21T00:00:00"/>
    <d v="2025-09-26T00:00:00"/>
    <s v="CUST-2548"/>
    <s v="Rohan Mehta"/>
    <x v="3"/>
    <x v="3"/>
    <s v="Gujarat"/>
    <s v="Ahmedabad"/>
    <x v="1"/>
    <x v="1"/>
    <s v="Elite Tables 389"/>
    <x v="4"/>
    <n v="6"/>
    <n v="2903.58"/>
    <n v="0.1"/>
    <n v="15679.33"/>
    <n v="12477.82"/>
    <n v="3201.51"/>
    <s v="Pending"/>
    <x v="2"/>
    <s v="OK"/>
    <s v="OK"/>
    <s v="OK"/>
    <s v="OK"/>
    <n v="5"/>
    <s v="Unique"/>
    <n v="0.1"/>
    <s v="Valid"/>
    <n v="15679.332"/>
    <x v="163"/>
    <n v="0.20418675999717339"/>
    <x v="7"/>
    <x v="1"/>
    <s v="Warning"/>
  </r>
  <r>
    <s v="ORD-2025-10165"/>
    <d v="2025-09-09T00:00:00"/>
    <d v="2025-09-14T00:00:00"/>
    <s v="CUST-3833"/>
    <s v="Rahul Verma"/>
    <x v="1"/>
    <x v="1"/>
    <s v="West Bengal"/>
    <s v="Kolkata"/>
    <x v="1"/>
    <x v="10"/>
    <s v="Pro Bookcases 595"/>
    <x v="0"/>
    <n v="1"/>
    <n v="3154.42"/>
    <n v="0.25"/>
    <n v="2365.8200000000002"/>
    <n v="1547.99"/>
    <n v="817.83"/>
    <s v="Paid"/>
    <x v="0"/>
    <s v="OK"/>
    <s v="OK"/>
    <s v="OK"/>
    <s v="OK"/>
    <n v="5"/>
    <s v="Unique"/>
    <n v="0.25"/>
    <s v="Valid"/>
    <n v="2365.8150000000001"/>
    <x v="164"/>
    <n v="0.34568425679945392"/>
    <x v="7"/>
    <x v="1"/>
    <s v="Clean"/>
  </r>
  <r>
    <s v="ORD-2024-10166"/>
    <d v="2024-11-22T00:00:00"/>
    <d v="2024-11-29T00:00:00"/>
    <s v="CUST-4598"/>
    <s v="Mira Das"/>
    <x v="3"/>
    <x v="1"/>
    <s v="Bihar"/>
    <s v="Patna"/>
    <x v="1"/>
    <x v="4"/>
    <s v="Max Chairs 148"/>
    <x v="3"/>
    <n v="4"/>
    <n v="3422.99"/>
    <n v="0.25"/>
    <n v="10268.969999999999"/>
    <n v="6470.92"/>
    <n v="3798.05"/>
    <s v="Paid"/>
    <x v="0"/>
    <s v="OK"/>
    <s v="OK"/>
    <s v="OK"/>
    <s v="OK"/>
    <n v="7"/>
    <s v="Unique"/>
    <n v="0.25"/>
    <s v="Valid"/>
    <n v="10268.969999999999"/>
    <x v="165"/>
    <n v="0.36985695741637181"/>
    <x v="3"/>
    <x v="0"/>
    <s v="Clean"/>
  </r>
  <r>
    <s v="ORD-2025-10167"/>
    <d v="2025-02-20T00:00:00"/>
    <d v="2025-02-26T00:00:00"/>
    <s v="CUST-7215"/>
    <s v="Karan Malhotra"/>
    <x v="1"/>
    <x v="3"/>
    <s v="Gujarat"/>
    <s v="Ahmedabad"/>
    <x v="0"/>
    <x v="7"/>
    <s v="Basic Labels 671"/>
    <x v="2"/>
    <n v="1"/>
    <n v="2557.85"/>
    <n v="0.2"/>
    <n v="2046.28"/>
    <n v="1449.54"/>
    <n v="596.74"/>
    <s v="Paid"/>
    <x v="0"/>
    <s v="OK"/>
    <s v="OK"/>
    <s v="OK"/>
    <s v="OK"/>
    <n v="6"/>
    <s v="Unique"/>
    <n v="0.2"/>
    <s v="Valid"/>
    <n v="2046.28"/>
    <x v="166"/>
    <n v="0.29162186992982386"/>
    <x v="6"/>
    <x v="1"/>
    <s v="Clean"/>
  </r>
  <r>
    <s v="ORD-2025-10168"/>
    <d v="2025-08-18T00:00:00"/>
    <d v="2025-08-18T00:00:00"/>
    <s v="CUST-7770"/>
    <s v="Arjun Bose"/>
    <x v="3"/>
    <x v="2"/>
    <s v="Karnataka"/>
    <s v="Bengaluru"/>
    <x v="0"/>
    <x v="8"/>
    <s v="Elite Storage 628"/>
    <x v="2"/>
    <n v="9"/>
    <n v="3030.93"/>
    <n v="0.15"/>
    <n v="23186.61"/>
    <n v="17906.54"/>
    <n v="5280.07"/>
    <s v="Paid"/>
    <x v="2"/>
    <s v="OK"/>
    <s v="OK"/>
    <s v="OK"/>
    <s v="OK"/>
    <n v="0"/>
    <s v="Unique"/>
    <n v="0.15"/>
    <s v="Valid"/>
    <n v="23186.6145"/>
    <x v="167"/>
    <n v="0.22772080417345961"/>
    <x v="1"/>
    <x v="1"/>
    <s v="Clean"/>
  </r>
  <r>
    <s v="ORD-2025-10169"/>
    <d v="2025-01-20T00:00:00"/>
    <d v="2025-01-23T00:00:00"/>
    <s v="CUST-9756"/>
    <s v="Kabir Singh"/>
    <x v="0"/>
    <x v="3"/>
    <s v="Maharashtra"/>
    <s v="Mumbai"/>
    <x v="2"/>
    <x v="5"/>
    <s v="Eco Accessories 590"/>
    <x v="1"/>
    <n v="5"/>
    <n v="639.27"/>
    <n v="0.2"/>
    <n v="2557.08"/>
    <n v="2025.69"/>
    <n v="531.39"/>
    <s v="Paid"/>
    <x v="1"/>
    <s v="OK"/>
    <s v="OK"/>
    <s v="OK"/>
    <s v="OK"/>
    <n v="3"/>
    <s v="Unique"/>
    <n v="0.2"/>
    <s v="Valid"/>
    <n v="2557.08"/>
    <x v="168"/>
    <n v="0.2078112534609789"/>
    <x v="10"/>
    <x v="1"/>
    <s v="Clean"/>
  </r>
  <r>
    <s v="ORD-2025-10170"/>
    <d v="2025-09-13T00:00:00"/>
    <d v="2025-09-13T00:00:00"/>
    <s v="CUST-2261"/>
    <s v="Diya Patel"/>
    <x v="0"/>
    <x v="1"/>
    <s v="Assam"/>
    <s v="Guwahati"/>
    <x v="0"/>
    <x v="2"/>
    <s v="Pro Art 734"/>
    <x v="3"/>
    <n v="8"/>
    <n v="733.9"/>
    <n v="0.05"/>
    <n v="5577.64"/>
    <n v="3541.29"/>
    <n v="2036.35"/>
    <s v="Pending"/>
    <x v="2"/>
    <s v="OK"/>
    <s v="OK"/>
    <s v="OK"/>
    <s v="OK"/>
    <n v="0"/>
    <s v="Unique"/>
    <n v="0.05"/>
    <s v="Valid"/>
    <n v="5577.6399999999994"/>
    <x v="169"/>
    <n v="0.36509168752375548"/>
    <x v="7"/>
    <x v="1"/>
    <s v="Clean"/>
  </r>
  <r>
    <s v="ORD-2025-10171"/>
    <d v="2025-09-07T00:00:00"/>
    <d v="2025-09-15T00:00:00"/>
    <s v="CUST-3734"/>
    <s v="Rohan Mehta"/>
    <x v="2"/>
    <x v="1"/>
    <s v="Bihar"/>
    <s v="Patna"/>
    <x v="2"/>
    <x v="6"/>
    <s v="Eco Copiers 102"/>
    <x v="3"/>
    <n v="3"/>
    <n v="1711.32"/>
    <n v="0"/>
    <n v="5133.96"/>
    <n v="3930"/>
    <n v="1203.96"/>
    <s v="Paid"/>
    <x v="0"/>
    <s v="OK"/>
    <s v="OK"/>
    <s v="OK"/>
    <s v="OK"/>
    <n v="8"/>
    <s v="Conflicting Duplicate - Manual Review Required"/>
    <n v="0"/>
    <s v="Valid"/>
    <n v="5133.96"/>
    <x v="170"/>
    <n v="0.23450903396208775"/>
    <x v="7"/>
    <x v="1"/>
    <s v="Invalid"/>
  </r>
  <r>
    <s v="ORD-2025-10172"/>
    <d v="2025-02-23T00:00:00"/>
    <d v="2025-02-25T00:00:00"/>
    <s v="CUST-3436"/>
    <s v="Karan Malhotra"/>
    <x v="2"/>
    <x v="1"/>
    <s v="Bihar"/>
    <s v="Patna"/>
    <x v="0"/>
    <x v="7"/>
    <s v="Basic Labels 876"/>
    <x v="1"/>
    <n v="5"/>
    <n v="4246.2700000000004"/>
    <n v="0.25"/>
    <n v="15923.51"/>
    <n v="11291.8"/>
    <n v="4631.71"/>
    <s v="Paid"/>
    <x v="0"/>
    <s v="OK"/>
    <s v="OK"/>
    <s v="OK"/>
    <s v="OK"/>
    <n v="2"/>
    <s v="Unique"/>
    <n v="0.25"/>
    <s v="Valid"/>
    <n v="15923.512500000001"/>
    <x v="171"/>
    <n v="0.29087253832971849"/>
    <x v="6"/>
    <x v="1"/>
    <s v="Clean"/>
  </r>
  <r>
    <s v="ORD-2025-10173"/>
    <d v="2025-08-02T00:00:00"/>
    <d v="2025-08-10T00:00:00"/>
    <s v="CUST-4845"/>
    <s v="Karan Malhotra"/>
    <x v="2"/>
    <x v="0"/>
    <s v="Delhi"/>
    <s v="New Delhi"/>
    <x v="1"/>
    <x v="3"/>
    <s v="Prime Furnishings 381"/>
    <x v="1"/>
    <n v="9"/>
    <n v="2962.62"/>
    <n v="0.1"/>
    <n v="23997.22"/>
    <n v="16134.63"/>
    <n v="7862.59"/>
    <s v="Refunded"/>
    <x v="2"/>
    <s v="OK"/>
    <s v="OK"/>
    <s v="OK"/>
    <s v="OK"/>
    <n v="8"/>
    <s v="Unique"/>
    <n v="0.1"/>
    <s v="Valid"/>
    <n v="23997.221999999998"/>
    <x v="172"/>
    <n v="0.32764592501582057"/>
    <x v="1"/>
    <x v="1"/>
    <s v="Clean"/>
  </r>
  <r>
    <s v="ORD-2024-10174"/>
    <d v="2024-05-02T00:00:00"/>
    <d v="2024-05-08T00:00:00"/>
    <s v="CUST-6153"/>
    <s v="Priya Menon"/>
    <x v="3"/>
    <x v="0"/>
    <s v="Punjab"/>
    <s v="Ludhiana"/>
    <x v="2"/>
    <x v="6"/>
    <s v="Prime Copiers 440"/>
    <x v="0"/>
    <n v="1"/>
    <n v="2312.25"/>
    <n v="0.25"/>
    <n v="1734.19"/>
    <n v="1386.07"/>
    <n v="348.12"/>
    <s v="Paid"/>
    <x v="0"/>
    <s v="OK"/>
    <s v="OK"/>
    <s v="OK"/>
    <s v="OK"/>
    <n v="6"/>
    <s v="Unique"/>
    <n v="0.25"/>
    <s v="Valid"/>
    <n v="1734.1875"/>
    <x v="173"/>
    <n v="0.20073809781237614"/>
    <x v="4"/>
    <x v="0"/>
    <s v="Clean"/>
  </r>
  <r>
    <s v="ORD-2025-10175"/>
    <d v="2025-09-28T00:00:00"/>
    <d v="2025-10-04T00:00:00"/>
    <s v="CUST-5475"/>
    <s v="Karan Malhotra"/>
    <x v="1"/>
    <x v="2"/>
    <s v="Karnataka"/>
    <s v="Bengaluru"/>
    <x v="1"/>
    <x v="10"/>
    <s v="Pro Bookcases 319"/>
    <x v="2"/>
    <n v="6"/>
    <n v="1620.53"/>
    <n v="0.15"/>
    <n v="8264.7000000000007"/>
    <n v="4768.75"/>
    <n v="3495.95"/>
    <s v="Pending"/>
    <x v="2"/>
    <s v="OK"/>
    <s v="OK"/>
    <s v="OK"/>
    <s v="OK"/>
    <n v="6"/>
    <s v="Unique"/>
    <n v="0.15"/>
    <s v="Valid"/>
    <n v="8264.7029999999995"/>
    <x v="174"/>
    <n v="0.42299801940856191"/>
    <x v="7"/>
    <x v="1"/>
    <s v="Clean"/>
  </r>
  <r>
    <s v="ORD-2024-10176"/>
    <d v="2024-01-27T00:00:00"/>
    <d v="2024-02-03T00:00:00"/>
    <s v="CUST-5580"/>
    <s v="Arjun Bose"/>
    <x v="1"/>
    <x v="1"/>
    <s v="Bihar"/>
    <s v="Patna"/>
    <x v="2"/>
    <x v="12"/>
    <s v="Basic Machines 584"/>
    <x v="1"/>
    <n v="7"/>
    <n v="2673.42"/>
    <n v="0.15"/>
    <n v="15906.85"/>
    <n v="11014.46"/>
    <n v="4892.3900000000003"/>
    <s v="Paid"/>
    <x v="2"/>
    <s v="OK"/>
    <s v="OK"/>
    <s v="OK"/>
    <s v="OK"/>
    <n v="7"/>
    <s v="Unique"/>
    <n v="0.15"/>
    <s v="Valid"/>
    <n v="15906.849000000002"/>
    <x v="175"/>
    <n v="0.30756493633654297"/>
    <x v="10"/>
    <x v="0"/>
    <s v="Clean"/>
  </r>
  <r>
    <s v="ORD-2025-10177"/>
    <d v="2025-03-18T00:00:00"/>
    <d v="2025-03-26T00:00:00"/>
    <s v="CUST-3027"/>
    <s v="Vikram Iyer"/>
    <x v="2"/>
    <x v="1"/>
    <s v="Jharkhand"/>
    <s v="Ranchi"/>
    <x v="1"/>
    <x v="10"/>
    <s v="Pro Bookcases 612"/>
    <x v="3"/>
    <n v="8"/>
    <n v="3563.09"/>
    <n v="0.15"/>
    <n v="24229.01"/>
    <n v="13910.64"/>
    <n v="10318.370000000001"/>
    <s v="Paid"/>
    <x v="0"/>
    <s v="OK"/>
    <s v="OK"/>
    <s v="OK"/>
    <s v="OK"/>
    <n v="8"/>
    <s v="Unique"/>
    <n v="0.15"/>
    <s v="Valid"/>
    <n v="24229.011999999999"/>
    <x v="176"/>
    <n v="0.42586845885420338"/>
    <x v="11"/>
    <x v="1"/>
    <s v="Clean"/>
  </r>
  <r>
    <s v="ORD-2024-10178"/>
    <d v="2024-06-01T00:00:00"/>
    <d v="2024-06-03T00:00:00"/>
    <s v="CUST-4399"/>
    <s v="Sneha Kapoor"/>
    <x v="3"/>
    <x v="4"/>
    <s v="Bihar"/>
    <s v="Patna"/>
    <x v="0"/>
    <x v="2"/>
    <s v="Classic Art 573"/>
    <x v="1"/>
    <n v="8"/>
    <n v="3879.95"/>
    <n v="0"/>
    <n v="31039.599999999999"/>
    <n v="20866.72"/>
    <n v="10172.879999999999"/>
    <s v="Paid"/>
    <x v="0"/>
    <s v="OK"/>
    <s v="OK"/>
    <s v="OK"/>
    <s v="OK"/>
    <n v="2"/>
    <s v="Unique"/>
    <n v="0"/>
    <s v="Valid"/>
    <n v="31039.599999999999"/>
    <x v="177"/>
    <n v="0.32773875952009685"/>
    <x v="2"/>
    <x v="0"/>
    <s v="Warning"/>
  </r>
  <r>
    <s v="ORD-2024-10179"/>
    <d v="2024-09-30T00:00:00"/>
    <d v="2024-09-30T00:00:00"/>
    <s v="CUST-3092"/>
    <s v="Isha Nair"/>
    <x v="2"/>
    <x v="2"/>
    <s v="Telangana"/>
    <s v="Hyderabad"/>
    <x v="0"/>
    <x v="2"/>
    <s v="Eco Art 854"/>
    <x v="3"/>
    <n v="4"/>
    <n v="3281.74"/>
    <n v="0"/>
    <n v="13126.96"/>
    <n v="10732.44"/>
    <n v="2394.52"/>
    <s v="Paid"/>
    <x v="0"/>
    <s v="OK"/>
    <s v="OK"/>
    <s v="OK"/>
    <s v="OK"/>
    <n v="0"/>
    <s v="Unique"/>
    <n v="0"/>
    <s v="Valid"/>
    <n v="13126.96"/>
    <x v="178"/>
    <n v="0.18241237879905162"/>
    <x v="7"/>
    <x v="0"/>
    <s v="Clean"/>
  </r>
  <r>
    <s v="ORD-2024-10180"/>
    <d v="2024-03-15T00:00:00"/>
    <d v="2024-03-19T00:00:00"/>
    <s v="CUST-1778"/>
    <s v="Ananya Rao"/>
    <x v="1"/>
    <x v="2"/>
    <s v="Tamil Nadu"/>
    <s v="Chennai"/>
    <x v="1"/>
    <x v="3"/>
    <s v="Classic Furnishings 996"/>
    <x v="3"/>
    <n v="4"/>
    <n v="3186.3"/>
    <n v="0.25"/>
    <n v="9558.9"/>
    <n v="5516.76"/>
    <n v="4042.14"/>
    <s v="Refunded"/>
    <x v="2"/>
    <s v="OK"/>
    <s v="OK"/>
    <s v="OK"/>
    <s v="OK"/>
    <n v="4"/>
    <s v="Unique"/>
    <n v="0.25"/>
    <s v="Valid"/>
    <n v="9558.9000000000015"/>
    <x v="179"/>
    <n v="0.42286664783604816"/>
    <x v="11"/>
    <x v="0"/>
    <s v="Clean"/>
  </r>
  <r>
    <s v="ORD-2024-10181"/>
    <d v="2024-08-26T00:00:00"/>
    <d v="2024-08-26T00:00:00"/>
    <s v="CUST-3787"/>
    <s v="Mira Das"/>
    <x v="3"/>
    <x v="0"/>
    <s v="Uttar Pradesh"/>
    <s v="Noida"/>
    <x v="0"/>
    <x v="9"/>
    <s v="Prime Binders 735"/>
    <x v="2"/>
    <n v="7"/>
    <n v="844.59"/>
    <n v="0.1"/>
    <n v="5320.92"/>
    <n v="3041.5"/>
    <n v="2279.42"/>
    <s v="Paid"/>
    <x v="0"/>
    <s v="OK"/>
    <s v="OK"/>
    <s v="OK"/>
    <s v="OK"/>
    <n v="0"/>
    <s v="Unique"/>
    <n v="0.1"/>
    <s v="Valid"/>
    <n v="5320.9170000000004"/>
    <x v="180"/>
    <n v="0.42838800154183954"/>
    <x v="1"/>
    <x v="0"/>
    <s v="Clean"/>
  </r>
  <r>
    <s v="ORD-2025-10182"/>
    <d v="2025-09-09T00:00:00"/>
    <d v="2025-09-10T00:00:00"/>
    <s v="CUST-5119"/>
    <s v="Priya Menon"/>
    <x v="3"/>
    <x v="2"/>
    <s v="Tamil Nadu"/>
    <s v="Chennai"/>
    <x v="0"/>
    <x v="2"/>
    <s v="Pro Art 587"/>
    <x v="0"/>
    <n v="4"/>
    <n v="2551.4499999999998"/>
    <n v="0"/>
    <n v="10205.799999999999"/>
    <n v="5986.31"/>
    <n v="4219.49"/>
    <s v="Paid"/>
    <x v="0"/>
    <s v="OK"/>
    <s v="OK"/>
    <s v="OK"/>
    <s v="OK"/>
    <n v="1"/>
    <s v="Unique"/>
    <n v="0"/>
    <s v="Valid"/>
    <n v="10205.799999999999"/>
    <x v="181"/>
    <n v="0.41344039663720622"/>
    <x v="7"/>
    <x v="1"/>
    <s v="Clean"/>
  </r>
  <r>
    <s v="ORD-2024-10183"/>
    <d v="2024-10-16T00:00:00"/>
    <d v="2024-10-16T00:00:00"/>
    <s v="CUST-4121"/>
    <s v="Ananya Rao"/>
    <x v="3"/>
    <x v="1"/>
    <s v="Bihar"/>
    <s v="Patna"/>
    <x v="2"/>
    <x v="12"/>
    <s v="Basic Machines 575"/>
    <x v="3"/>
    <n v="7"/>
    <n v="775.77"/>
    <n v="0"/>
    <n v="5430.39"/>
    <n v="3707.66"/>
    <n v="1722.73"/>
    <s v="Paid"/>
    <x v="0"/>
    <s v="OK"/>
    <s v="OK"/>
    <s v="OK"/>
    <s v="OK"/>
    <n v="0"/>
    <s v="Unique"/>
    <n v="0"/>
    <s v="Valid"/>
    <n v="5430.3899999999994"/>
    <x v="182"/>
    <n v="0.31723872502711586"/>
    <x v="9"/>
    <x v="0"/>
    <s v="Clean"/>
  </r>
  <r>
    <s v="ORD-2025-10184"/>
    <d v="2025-06-24T00:00:00"/>
    <d v="2025-06-27T00:00:00"/>
    <s v="CUST-3366"/>
    <s v="Vikram Iyer"/>
    <x v="3"/>
    <x v="2"/>
    <s v="Telangana"/>
    <s v="Hyderabad"/>
    <x v="2"/>
    <x v="6"/>
    <s v="Elite Copiers 788"/>
    <x v="3"/>
    <n v="7"/>
    <n v="2304.86"/>
    <n v="0.2"/>
    <n v="12907.22"/>
    <n v="8327.89"/>
    <n v="4579.33"/>
    <s v="Paid"/>
    <x v="2"/>
    <s v="OK"/>
    <s v="OK"/>
    <s v="OK"/>
    <s v="OK"/>
    <n v="3"/>
    <s v="Unique"/>
    <n v="0.2"/>
    <s v="Valid"/>
    <n v="12907.216"/>
    <x v="183"/>
    <n v="0.3547880503433119"/>
    <x v="2"/>
    <x v="1"/>
    <s v="Clean"/>
  </r>
  <r>
    <s v="ORD-2024-10185"/>
    <d v="2024-04-02T00:00:00"/>
    <d v="2024-04-06T00:00:00"/>
    <s v="CUST-1358"/>
    <s v="Vikram Iyer"/>
    <x v="2"/>
    <x v="3"/>
    <s v="Madhya Pradesh"/>
    <s v="Indore"/>
    <x v="1"/>
    <x v="10"/>
    <s v="Max Bookcases 472"/>
    <x v="3"/>
    <n v="2"/>
    <n v="888.98"/>
    <n v="0"/>
    <n v="1777.96"/>
    <n v="1021.16"/>
    <n v="756.8"/>
    <s v="Refunded"/>
    <x v="2"/>
    <s v="OK"/>
    <s v="OK"/>
    <s v="OK"/>
    <s v="OK"/>
    <n v="4"/>
    <s v="Unique"/>
    <n v="0"/>
    <s v="Valid"/>
    <n v="1777.96"/>
    <x v="184"/>
    <n v="0.42565637022205227"/>
    <x v="5"/>
    <x v="0"/>
    <s v="Clean"/>
  </r>
  <r>
    <s v="ORD-2024-10186"/>
    <d v="2024-11-05T00:00:00"/>
    <d v="2024-11-13T00:00:00"/>
    <s v="CUST-4968"/>
    <s v="Arjun Bose"/>
    <x v="0"/>
    <x v="4"/>
    <s v="Punjab"/>
    <s v="Ludhiana"/>
    <x v="0"/>
    <x v="7"/>
    <s v="Smart Labels 475"/>
    <x v="0"/>
    <n v="2"/>
    <n v="1003.17"/>
    <n v="0.2"/>
    <n v="1605.07"/>
    <n v="1337.28"/>
    <n v="267.79000000000002"/>
    <s v="Paid"/>
    <x v="0"/>
    <s v="OK"/>
    <s v="OK"/>
    <s v="OK"/>
    <s v="OK"/>
    <n v="8"/>
    <s v="Unique"/>
    <n v="0.2"/>
    <s v="Valid"/>
    <n v="1605.0720000000001"/>
    <x v="185"/>
    <n v="0.16684111366966722"/>
    <x v="3"/>
    <x v="0"/>
    <s v="Warning"/>
  </r>
  <r>
    <s v="ORD-2024-10187"/>
    <d v="2024-07-19T00:00:00"/>
    <d v="2024-07-20T00:00:00"/>
    <s v="CUST-2778"/>
    <s v="Vikram Iyer"/>
    <x v="0"/>
    <x v="2"/>
    <s v="Tamil Nadu"/>
    <s v="Chennai"/>
    <x v="1"/>
    <x v="1"/>
    <s v="Basic Tables 417"/>
    <x v="2"/>
    <n v="7"/>
    <n v="3608.43"/>
    <n v="0.05"/>
    <n v="23996.06"/>
    <n v="20167.28"/>
    <n v="3828.78"/>
    <s v="Paid"/>
    <x v="0"/>
    <s v="OK"/>
    <s v="OK"/>
    <s v="OK"/>
    <s v="OK"/>
    <n v="1"/>
    <s v="Unique"/>
    <n v="0.05"/>
    <s v="Valid"/>
    <n v="23996.059499999996"/>
    <x v="186"/>
    <n v="0.15955867670689838"/>
    <x v="0"/>
    <x v="0"/>
    <s v="Clean"/>
  </r>
  <r>
    <s v="ORD-2025-10188"/>
    <d v="2025-05-01T00:00:00"/>
    <d v="2025-05-02T00:00:00"/>
    <s v="CUST-3109"/>
    <s v="Mira Das"/>
    <x v="0"/>
    <x v="3"/>
    <s v="Madhya Pradesh"/>
    <s v="Indore"/>
    <x v="1"/>
    <x v="4"/>
    <s v="Pro Chairs 844"/>
    <x v="1"/>
    <n v="3"/>
    <n v="2905.74"/>
    <n v="0"/>
    <n v="8717.2199999999993"/>
    <n v="6215.96"/>
    <n v="2501.2600000000002"/>
    <s v="Paid"/>
    <x v="2"/>
    <s v="OK"/>
    <s v="OK"/>
    <s v="OK"/>
    <s v="OK"/>
    <n v="1"/>
    <s v="Unique"/>
    <n v="0"/>
    <s v="Valid"/>
    <n v="8717.2199999999993"/>
    <x v="187"/>
    <n v="0.28693321953558582"/>
    <x v="4"/>
    <x v="1"/>
    <s v="Clean"/>
  </r>
  <r>
    <s v="ORD-2025-10189"/>
    <d v="2025-05-21T00:00:00"/>
    <d v="2025-05-28T00:00:00"/>
    <s v="CUST-3422"/>
    <s v="Priya Menon"/>
    <x v="2"/>
    <x v="1"/>
    <s v="West Bengal"/>
    <s v="Kolkata"/>
    <x v="1"/>
    <x v="10"/>
    <s v="Elite Bookcases 883"/>
    <x v="1"/>
    <n v="2"/>
    <n v="3559.57"/>
    <n v="0.1"/>
    <n v="6553.95"/>
    <n v="4923.09"/>
    <n v="1484.14"/>
    <s v="Paid"/>
    <x v="0"/>
    <s v="OK"/>
    <s v="OK"/>
    <s v="OK"/>
    <s v="OK"/>
    <n v="7"/>
    <s v="Unique"/>
    <n v="0.1"/>
    <s v="Valid"/>
    <n v="6407.2260000000006"/>
    <x v="188"/>
    <n v="0.23163471992403581"/>
    <x v="4"/>
    <x v="1"/>
    <s v="Clean"/>
  </r>
  <r>
    <s v="ORD-2025-10190"/>
    <d v="2025-05-06T00:00:00"/>
    <d v="2025-05-07T00:00:00"/>
    <s v="CUST-3375"/>
    <s v="Arjun Bose"/>
    <x v="0"/>
    <x v="3"/>
    <s v="Rajasthan"/>
    <s v="Udaipur"/>
    <x v="1"/>
    <x v="10"/>
    <s v="Basic Bookcases 754"/>
    <x v="2"/>
    <n v="9"/>
    <n v="3318.24"/>
    <m/>
    <n v="25384.54"/>
    <n v="16872.39"/>
    <n v="8512.15"/>
    <s v="Paid"/>
    <x v="0"/>
    <s v="OK"/>
    <s v="OK"/>
    <s v="OK"/>
    <s v="OK"/>
    <n v="1"/>
    <s v="Unique"/>
    <n v="0"/>
    <s v="Missing - Treated as 0"/>
    <n v="29864.159999999996"/>
    <x v="189"/>
    <n v="0.43502881045373448"/>
    <x v="4"/>
    <x v="1"/>
    <s v="Warning"/>
  </r>
  <r>
    <s v="ORD-2025-10191"/>
    <d v="2025-04-20T00:00:00"/>
    <d v="2025-04-21T00:00:00"/>
    <s v="CUST-5138"/>
    <s v="Aditi Sen"/>
    <x v="0"/>
    <x v="2"/>
    <s v="Tamil Nadu"/>
    <s v="Chennai"/>
    <x v="0"/>
    <x v="8"/>
    <s v="Eco Storage 158"/>
    <x v="2"/>
    <n v="3"/>
    <n v="540.09"/>
    <n v="0.1"/>
    <n v="1458.24"/>
    <n v="943.32"/>
    <n v="514.91999999999996"/>
    <s v="Paid"/>
    <x v="0"/>
    <s v="OK"/>
    <s v="OK"/>
    <s v="OK"/>
    <s v="OK"/>
    <n v="1"/>
    <s v="Unique"/>
    <n v="0.1"/>
    <s v="Valid"/>
    <n v="1458.2429999999999"/>
    <x v="190"/>
    <n v="0.35311192990468659"/>
    <x v="5"/>
    <x v="1"/>
    <s v="Clean"/>
  </r>
  <r>
    <s v="ORD-2024-10192"/>
    <d v="2024-10-19T00:00:00"/>
    <d v="2024-10-24T00:00:00"/>
    <s v="CUST-7410"/>
    <s v="Sneha Kapoor"/>
    <x v="1"/>
    <x v="2"/>
    <s v="Tamil Nadu"/>
    <s v="Chennai"/>
    <x v="1"/>
    <x v="10"/>
    <s v="Prime Bookcases 602"/>
    <x v="0"/>
    <n v="6"/>
    <n v="4308.3999999999996"/>
    <n v="0.65"/>
    <n v="25850.400000000001"/>
    <n v="19397.68"/>
    <n v="6452.72"/>
    <s v="Paid"/>
    <x v="0"/>
    <s v="OK"/>
    <s v="OK"/>
    <s v="OK"/>
    <s v="OK"/>
    <n v="5"/>
    <s v="Unique"/>
    <n v="0.65"/>
    <s v="Invalid: Above Allowed Range"/>
    <n v="9047.64"/>
    <x v="191"/>
    <n v="-1.1439491403283069"/>
    <x v="9"/>
    <x v="0"/>
    <s v="Invalid"/>
  </r>
  <r>
    <s v="ORD-2024-10193"/>
    <d v="2024-12-09T00:00:00"/>
    <d v="2024-12-16T00:00:00"/>
    <s v="CUST-7115"/>
    <s v="Isha Nair"/>
    <x v="3"/>
    <x v="3"/>
    <s v="Gujarat"/>
    <s v="Ahmedabad"/>
    <x v="1"/>
    <x v="4"/>
    <s v="Eco Chairs 438"/>
    <x v="2"/>
    <n v="4"/>
    <n v="2191.0300000000002"/>
    <n v="0"/>
    <n v="8764.1200000000008"/>
    <n v="7220.05"/>
    <n v="1544.07"/>
    <s v="Paid"/>
    <x v="0"/>
    <s v="OK"/>
    <s v="OK"/>
    <s v="OK"/>
    <s v="OK"/>
    <n v="7"/>
    <s v="Unique"/>
    <n v="0"/>
    <s v="Valid"/>
    <n v="8764.1200000000008"/>
    <x v="192"/>
    <n v="0.17618083732308554"/>
    <x v="8"/>
    <x v="0"/>
    <s v="Clean"/>
  </r>
  <r>
    <s v="ORD-2024-10194"/>
    <d v="2024-06-23T00:00:00"/>
    <d v="2024-06-28T00:00:00"/>
    <s v="CUST-9853"/>
    <s v="Priya Menon"/>
    <x v="1"/>
    <x v="0"/>
    <s v="Punjab"/>
    <s v="Ludhiana"/>
    <x v="2"/>
    <x v="6"/>
    <s v="Prime Copiers 142"/>
    <x v="1"/>
    <n v="6"/>
    <n v="1956.63"/>
    <n v="0.2"/>
    <n v="9391.82"/>
    <n v="6013.22"/>
    <n v="3378.6"/>
    <s v="Refunded"/>
    <x v="2"/>
    <s v="OK"/>
    <s v="OK"/>
    <s v="OK"/>
    <s v="OK"/>
    <n v="5"/>
    <s v="Unique"/>
    <n v="0.2"/>
    <s v="Valid"/>
    <n v="9391.8240000000005"/>
    <x v="193"/>
    <n v="0.35973885370935399"/>
    <x v="2"/>
    <x v="0"/>
    <s v="Clean"/>
  </r>
  <r>
    <s v="ORD-2025-10195"/>
    <d v="2025-01-28T00:00:00"/>
    <d v="2025-01-31T00:00:00"/>
    <s v="CUST-3637"/>
    <s v="Priya Menon"/>
    <x v="0"/>
    <x v="3"/>
    <s v="Maharashtra"/>
    <s v="Mumbai"/>
    <x v="1"/>
    <x v="3"/>
    <s v="Prime Furnishings 433"/>
    <x v="2"/>
    <n v="9"/>
    <n v="858.39"/>
    <n v="0.05"/>
    <n v="7339.23"/>
    <n v="5434.12"/>
    <n v="1905.11"/>
    <s v="Pending"/>
    <x v="2"/>
    <s v="OK"/>
    <s v="OK"/>
    <s v="OK"/>
    <s v="OK"/>
    <n v="3"/>
    <s v="Unique"/>
    <n v="0.05"/>
    <s v="Valid"/>
    <n v="7339.2344999999996"/>
    <x v="194"/>
    <n v="0.25957945614082772"/>
    <x v="10"/>
    <x v="1"/>
    <s v="Clean"/>
  </r>
  <r>
    <s v="ORD-2025-10196"/>
    <d v="2025-07-22T00:00:00"/>
    <d v="2025-07-24T00:00:00"/>
    <s v="CUST-4328"/>
    <s v="Neha Gupta"/>
    <x v="3"/>
    <x v="2"/>
    <s v="Andhra Pradesh"/>
    <s v="Vijayawada"/>
    <x v="1"/>
    <x v="3"/>
    <s v="Smart Furnishings 685"/>
    <x v="1"/>
    <n v="5"/>
    <n v="1922.83"/>
    <n v="0"/>
    <n v="9614.15"/>
    <n v="7576.84"/>
    <n v="2037.31"/>
    <s v="Paid"/>
    <x v="0"/>
    <s v="OK"/>
    <s v="OK"/>
    <s v="OK"/>
    <s v="OK"/>
    <n v="2"/>
    <s v="Unique"/>
    <n v="0"/>
    <s v="Valid"/>
    <n v="9614.15"/>
    <x v="195"/>
    <n v="0.21190744891644084"/>
    <x v="0"/>
    <x v="1"/>
    <s v="Clean"/>
  </r>
  <r>
    <s v="ORD-2024-10197"/>
    <d v="2024-01-22T00:00:00"/>
    <d v="2024-01-25T00:00:00"/>
    <s v="CUST-8028"/>
    <s v="Kabir Singh"/>
    <x v="3"/>
    <x v="0"/>
    <s v="Uttar Pradesh"/>
    <s v="Noida"/>
    <x v="0"/>
    <x v="8"/>
    <s v="Elite Storage 915"/>
    <x v="2"/>
    <n v="3"/>
    <n v="1212.03"/>
    <n v="0.1"/>
    <n v="3272.48"/>
    <n v="2517.44"/>
    <n v="755.04"/>
    <s v="Paid"/>
    <x v="0"/>
    <s v="OK"/>
    <s v="OK"/>
    <s v="OK"/>
    <s v="OK"/>
    <n v="3"/>
    <s v="Unique"/>
    <n v="0.1"/>
    <s v="Valid"/>
    <n v="3272.4810000000002"/>
    <x v="196"/>
    <n v="0.23072433422837293"/>
    <x v="10"/>
    <x v="0"/>
    <s v="Clean"/>
  </r>
  <r>
    <s v="ORD-2025-10198"/>
    <d v="2025-03-31T00:00:00"/>
    <d v="2025-04-07T00:00:00"/>
    <s v="CUST-6106"/>
    <s v="Rahul Verma"/>
    <x v="1"/>
    <x v="1"/>
    <s v="Bihar"/>
    <s v="Patna"/>
    <x v="0"/>
    <x v="8"/>
    <s v="Basic Storage 961"/>
    <x v="0"/>
    <n v="5"/>
    <n v="4096.4399999999996"/>
    <n v="0.15"/>
    <n v="17409.87"/>
    <n v="14076.25"/>
    <n v="3333.62"/>
    <s v="Paid"/>
    <x v="0"/>
    <s v="OK"/>
    <s v="OK"/>
    <s v="OK"/>
    <s v="OK"/>
    <n v="7"/>
    <s v="Unique"/>
    <n v="0.15"/>
    <s v="Valid"/>
    <n v="17409.869999999995"/>
    <x v="197"/>
    <n v="0.19147874165631312"/>
    <x v="11"/>
    <x v="1"/>
    <s v="Clean"/>
  </r>
  <r>
    <s v="ORD-2024-10199"/>
    <d v="2024-06-05T00:00:00"/>
    <d v="2024-06-06T00:00:00"/>
    <s v="CUST-7820"/>
    <s v="Sneha Kapoor"/>
    <x v="0"/>
    <x v="3"/>
    <s v="Gujarat"/>
    <s v="Ahmedabad"/>
    <x v="0"/>
    <x v="2"/>
    <s v="Classic Art 968"/>
    <x v="0"/>
    <n v="1"/>
    <n v="1184.58"/>
    <n v="0.05"/>
    <n v="1125.3499999999999"/>
    <n v="676.97"/>
    <n v="448.38"/>
    <s v="Failed"/>
    <x v="1"/>
    <s v="OK"/>
    <s v="OK"/>
    <s v="OK"/>
    <s v="OK"/>
    <n v="1"/>
    <s v="Unique"/>
    <n v="0.05"/>
    <s v="Valid"/>
    <n v="1125.3509999999999"/>
    <x v="198"/>
    <n v="0.39843657667696558"/>
    <x v="2"/>
    <x v="0"/>
    <s v="Clean"/>
  </r>
  <r>
    <s v="ORD-2024-10200"/>
    <d v="2024-03-12T00:00:00"/>
    <d v="2024-03-12T00:00:00"/>
    <s v="CUST-4536"/>
    <s v="Rahul Verma"/>
    <x v="3"/>
    <x v="1"/>
    <s v="Bihar"/>
    <s v="Patna"/>
    <x v="2"/>
    <x v="12"/>
    <s v="Prime Machines 806"/>
    <x v="4"/>
    <n v="6"/>
    <n v="2185.58"/>
    <n v="0.25"/>
    <n v="9835.11"/>
    <n v="5437.64"/>
    <n v="4397.47"/>
    <s v="Paid"/>
    <x v="0"/>
    <s v="OK"/>
    <s v="OK"/>
    <s v="OK"/>
    <s v="OK"/>
    <n v="0"/>
    <s v="Unique"/>
    <n v="0.25"/>
    <s v="Valid"/>
    <n v="9835.11"/>
    <x v="199"/>
    <n v="0.44711955433136996"/>
    <x v="11"/>
    <x v="0"/>
    <s v="Warning"/>
  </r>
  <r>
    <s v="ORD-2025-10201"/>
    <d v="2025-06-27T00:00:00"/>
    <d v="2025-07-05T00:00:00"/>
    <s v="CUST-7047"/>
    <s v="Priya Menon"/>
    <x v="1"/>
    <x v="0"/>
    <s v="Rajasthan"/>
    <s v="Jaipur"/>
    <x v="2"/>
    <x v="6"/>
    <s v="Classic Copiers 479"/>
    <x v="2"/>
    <n v="5"/>
    <n v="2868.44"/>
    <n v="0.1"/>
    <n v="12907.98"/>
    <n v="9197.08"/>
    <n v="3710.9"/>
    <s v="Pending"/>
    <x v="1"/>
    <s v="OK"/>
    <s v="OK"/>
    <s v="OK"/>
    <s v="OK"/>
    <n v="8"/>
    <s v="Unique"/>
    <n v="0.1"/>
    <s v="Valid"/>
    <n v="12907.980000000001"/>
    <x v="200"/>
    <n v="0.28748882474252369"/>
    <x v="2"/>
    <x v="1"/>
    <s v="Clean"/>
  </r>
  <r>
    <s v="ORD-2025-10202"/>
    <d v="2025-07-26T00:00:00"/>
    <d v="2025-08-03T00:00:00"/>
    <s v="CUST-8005"/>
    <s v="Vikram Iyer"/>
    <x v="0"/>
    <x v="3"/>
    <s v="Madhya Pradesh"/>
    <s v="Indore"/>
    <x v="0"/>
    <x v="7"/>
    <s v="Basic Labels 511"/>
    <x v="0"/>
    <n v="2"/>
    <n v="2503.5300000000002"/>
    <n v="-0.16"/>
    <n v="4756.71"/>
    <n v="2954.86"/>
    <n v="1801.85"/>
    <s v="Refunded"/>
    <x v="1"/>
    <s v="OK"/>
    <s v="OK"/>
    <s v="OK"/>
    <s v="OK"/>
    <n v="8"/>
    <s v="Unique"/>
    <n v="-0.16"/>
    <s v="Invalid: Negative Discount"/>
    <n v="5808.1895999999997"/>
    <x v="201"/>
    <n v="0.49125972058487893"/>
    <x v="0"/>
    <x v="1"/>
    <s v="Invalid"/>
  </r>
  <r>
    <s v="ORD-2025-10203"/>
    <d v="2025-03-28T00:00:00"/>
    <d v="2025-03-28T00:00:00"/>
    <s v="CUST-9378"/>
    <s v="Sneha Kapoor"/>
    <x v="2"/>
    <x v="3"/>
    <s v="Goa"/>
    <s v="Panaji"/>
    <x v="2"/>
    <x v="5"/>
    <s v="Prime Accessories 733"/>
    <x v="3"/>
    <n v="8"/>
    <n v="1740.94"/>
    <n v="0.05"/>
    <n v="13231.14"/>
    <n v="11290.06"/>
    <n v="1941.08"/>
    <s v="Paid"/>
    <x v="0"/>
    <s v="OK"/>
    <s v="OK"/>
    <s v="OK"/>
    <s v="OK"/>
    <n v="0"/>
    <s v="Unique"/>
    <n v="0.05"/>
    <s v="Valid"/>
    <n v="13231.144"/>
    <x v="202"/>
    <n v="0.14670568168557463"/>
    <x v="11"/>
    <x v="1"/>
    <s v="Clean"/>
  </r>
  <r>
    <s v="ORD-2024-10204"/>
    <d v="2024-03-28T00:00:00"/>
    <d v="2024-03-30T00:00:00"/>
    <s v="CUST-3384"/>
    <s v="Sneha Kapoor"/>
    <x v="2"/>
    <x v="3"/>
    <s v="Rajasthan"/>
    <s v="Udaipur"/>
    <x v="2"/>
    <x v="5"/>
    <s v="Max Accessories 186"/>
    <x v="0"/>
    <n v="1"/>
    <n v="570.34"/>
    <n v="0.15"/>
    <n v="484.79"/>
    <n v="333.54"/>
    <n v="151.25"/>
    <s v="Paid"/>
    <x v="0"/>
    <s v="OK"/>
    <s v="OK"/>
    <s v="OK"/>
    <s v="OK"/>
    <n v="2"/>
    <s v="Unique"/>
    <n v="0.15"/>
    <s v="Valid"/>
    <n v="484.78899999999999"/>
    <x v="203"/>
    <n v="0.3119893396921134"/>
    <x v="11"/>
    <x v="0"/>
    <s v="Clean"/>
  </r>
  <r>
    <s v="ORD-2025-10205"/>
    <d v="2025-07-20T00:00:00"/>
    <d v="2025-07-23T00:00:00"/>
    <s v="CUST-1986"/>
    <s v="Mira Das"/>
    <x v="3"/>
    <x v="1"/>
    <s v="West Bengal"/>
    <s v="Kolkata"/>
    <x v="1"/>
    <x v="1"/>
    <s v="Elite Tables 318"/>
    <x v="0"/>
    <n v="4"/>
    <n v="477.69"/>
    <n v="0.15"/>
    <n v="1624.15"/>
    <n v="1217.99"/>
    <n v="406.16"/>
    <s v="Paid"/>
    <x v="0"/>
    <s v="OK"/>
    <s v="OK"/>
    <s v="OK"/>
    <s v="OK"/>
    <n v="3"/>
    <s v="Unique"/>
    <n v="0.15"/>
    <s v="Valid"/>
    <n v="1624.146"/>
    <x v="204"/>
    <n v="0.25007357712914968"/>
    <x v="0"/>
    <x v="1"/>
    <s v="Clean"/>
  </r>
  <r>
    <s v="ORD-2025-10206"/>
    <d v="2025-04-21T00:00:00"/>
    <d v="2025-04-26T00:00:00"/>
    <s v="CUST-3338"/>
    <s v="Ananya Rao"/>
    <x v="0"/>
    <x v="3"/>
    <s v="Maharashtra"/>
    <s v="Mumbai"/>
    <x v="0"/>
    <x v="7"/>
    <s v="Smart Labels 354"/>
    <x v="1"/>
    <n v="6"/>
    <n v="873.59"/>
    <n v="0.2"/>
    <n v="4193.2299999999996"/>
    <n v="3329.99"/>
    <n v="863.24"/>
    <s v="Paid"/>
    <x v="0"/>
    <s v="OK"/>
    <s v="OK"/>
    <s v="OK"/>
    <s v="OK"/>
    <n v="5"/>
    <s v="Unique"/>
    <n v="0.2"/>
    <s v="Valid"/>
    <n v="4193.232"/>
    <x v="205"/>
    <n v="0.2058655471483572"/>
    <x v="5"/>
    <x v="1"/>
    <s v="Clean"/>
  </r>
  <r>
    <s v="ORD-2025-10207"/>
    <d v="2025-05-18T00:00:00"/>
    <d v="2025-05-20T00:00:00"/>
    <s v="CUST-2343"/>
    <s v="Diya Patel"/>
    <x v="1"/>
    <x v="0"/>
    <s v="Uttar Pradesh"/>
    <s v="Noida"/>
    <x v="1"/>
    <x v="3"/>
    <s v="Pro Furnishings 981"/>
    <x v="2"/>
    <n v="2"/>
    <n v="215.13"/>
    <n v="0"/>
    <n v="430.26"/>
    <n v="286.38"/>
    <n v="143.88"/>
    <s v="Paid"/>
    <x v="0"/>
    <s v="OK"/>
    <s v="OK"/>
    <s v="OK"/>
    <s v="OK"/>
    <n v="2"/>
    <s v="Unique"/>
    <n v="0"/>
    <s v="Valid"/>
    <n v="430.26"/>
    <x v="206"/>
    <n v="0.33440245432994004"/>
    <x v="4"/>
    <x v="1"/>
    <s v="Clean"/>
  </r>
  <r>
    <s v="ORD-2024-10208"/>
    <d v="2024-07-10T00:00:00"/>
    <d v="2024-07-16T00:00:00"/>
    <s v="CUST-3362"/>
    <s v="Aarav Sharma"/>
    <x v="3"/>
    <x v="3"/>
    <s v="Goa"/>
    <s v="Panaji"/>
    <x v="1"/>
    <x v="10"/>
    <s v="Eco Bookcases 671"/>
    <x v="0"/>
    <n v="2"/>
    <n v="1095.45"/>
    <n v="0.2"/>
    <n v="1752.72"/>
    <n v="996.41"/>
    <n v="756.31"/>
    <s v="Paid"/>
    <x v="0"/>
    <s v="OK"/>
    <s v="OK"/>
    <s v="OK"/>
    <s v="OK"/>
    <n v="6"/>
    <s v="Unique"/>
    <n v="0.2"/>
    <s v="Valid"/>
    <n v="1752.7200000000003"/>
    <x v="207"/>
    <n v="0.43150645853302305"/>
    <x v="0"/>
    <x v="0"/>
    <s v="Clean"/>
  </r>
  <r>
    <s v="ORD-2025-10209"/>
    <d v="2025-06-29T00:00:00"/>
    <d v="2025-07-05T00:00:00"/>
    <s v="CUST-3662"/>
    <s v="Diya Patel"/>
    <x v="0"/>
    <x v="0"/>
    <s v="Punjab"/>
    <s v="Ludhiana"/>
    <x v="1"/>
    <x v="4"/>
    <s v="Max Chairs 151"/>
    <x v="1"/>
    <n v="1"/>
    <n v="999.83"/>
    <n v="0"/>
    <n v="999.83"/>
    <n v="634.91"/>
    <n v="364.92"/>
    <s v="Paid"/>
    <x v="0"/>
    <s v="OK"/>
    <s v="OK"/>
    <s v="OK"/>
    <s v="OK"/>
    <n v="6"/>
    <s v="Unique"/>
    <n v="0"/>
    <s v="Valid"/>
    <n v="999.83"/>
    <x v="208"/>
    <n v="0.3649820469479812"/>
    <x v="2"/>
    <x v="1"/>
    <s v="Clean"/>
  </r>
  <r>
    <s v="ORD-2025-10210"/>
    <d v="2025-08-13T00:00:00"/>
    <d v="2025-08-14T00:00:00"/>
    <s v="CUST-4947"/>
    <s v="Rohan Mehta"/>
    <x v="1"/>
    <x v="2"/>
    <s v="Andhra Pradesh"/>
    <s v="Vijayawada"/>
    <x v="0"/>
    <x v="0"/>
    <s v="Prime Paper 903"/>
    <x v="2"/>
    <n v="9"/>
    <n v="864.98"/>
    <n v="0.1"/>
    <n v="7006.34"/>
    <n v="4640.88"/>
    <n v="2365.46"/>
    <s v="Paid"/>
    <x v="0"/>
    <s v="OK"/>
    <s v="OK"/>
    <s v="OK"/>
    <s v="OK"/>
    <n v="1"/>
    <s v="Unique"/>
    <n v="0.1"/>
    <s v="Valid"/>
    <n v="7006.3379999999997"/>
    <x v="209"/>
    <n v="0.33761688345609359"/>
    <x v="1"/>
    <x v="1"/>
    <s v="Clean"/>
  </r>
  <r>
    <s v="ORD-2024-10211"/>
    <d v="2024-03-15T00:00:00"/>
    <d v="2024-03-18T00:00:00"/>
    <s v="CUST-3076"/>
    <s v="Kabir Singh"/>
    <x v="3"/>
    <x v="2"/>
    <s v="Karnataka"/>
    <s v="Bengaluru"/>
    <x v="2"/>
    <x v="12"/>
    <s v="Classic Machines 944"/>
    <x v="0"/>
    <n v="1"/>
    <n v="4131.3599999999997"/>
    <n v="0"/>
    <n v="4131.3599999999997"/>
    <n v="2937.07"/>
    <n v="1194.29"/>
    <s v="Failed"/>
    <x v="2"/>
    <s v="OK"/>
    <s v="OK"/>
    <s v="OK"/>
    <s v="OK"/>
    <n v="3"/>
    <s v="Unique"/>
    <n v="0"/>
    <s v="Valid"/>
    <n v="4131.3599999999997"/>
    <x v="210"/>
    <n v="0.28907914100925591"/>
    <x v="11"/>
    <x v="0"/>
    <s v="Clean"/>
  </r>
  <r>
    <s v="ORD-2024-10212"/>
    <d v="2024-05-16T00:00:00"/>
    <d v="2024-05-17T00:00:00"/>
    <s v="CUST-2222"/>
    <s v="Rohan Mehta"/>
    <x v="2"/>
    <x v="1"/>
    <s v="West Bengal"/>
    <s v="Kolkata"/>
    <x v="2"/>
    <x v="6"/>
    <s v="Basic Copiers 222"/>
    <x v="0"/>
    <n v="8"/>
    <n v="4221.95"/>
    <n v="0.2"/>
    <n v="27020.48"/>
    <n v="22885.24"/>
    <n v="4135.24"/>
    <s v="Paid"/>
    <x v="0"/>
    <s v="OK"/>
    <s v="OK"/>
    <s v="OK"/>
    <s v="OK"/>
    <n v="1"/>
    <s v="Unique"/>
    <n v="0.2"/>
    <s v="Valid"/>
    <n v="27020.48"/>
    <x v="211"/>
    <n v="0.15304095264036752"/>
    <x v="4"/>
    <x v="0"/>
    <s v="Clean"/>
  </r>
  <r>
    <s v="ORD-2024-10213"/>
    <d v="2024-09-21T00:00:00"/>
    <d v="2024-09-21T00:00:00"/>
    <s v="CUST-3610"/>
    <s v="Ananya Rao"/>
    <x v="1"/>
    <x v="1"/>
    <s v="Odisha"/>
    <s v="Bhubaneswar"/>
    <x v="2"/>
    <x v="11"/>
    <s v="Max Phones 329"/>
    <x v="1"/>
    <n v="2"/>
    <n v="214.5"/>
    <n v="0.15"/>
    <n v="364.65"/>
    <n v="280.74"/>
    <n v="83.91"/>
    <s v="Paid"/>
    <x v="0"/>
    <s v="OK"/>
    <s v="OK"/>
    <s v="OK"/>
    <s v="OK"/>
    <n v="0"/>
    <s v="Unique"/>
    <n v="0.15"/>
    <s v="Valid"/>
    <n v="364.65"/>
    <x v="212"/>
    <n v="0.23011106540518297"/>
    <x v="7"/>
    <x v="0"/>
    <s v="Clean"/>
  </r>
  <r>
    <s v="ORD-2024-10214"/>
    <d v="2024-05-15T00:00:00"/>
    <d v="2024-05-21T00:00:00"/>
    <s v="CUST-9136"/>
    <s v="Isha Nair"/>
    <x v="1"/>
    <x v="1"/>
    <s v="Bihar"/>
    <s v="Patna"/>
    <x v="2"/>
    <x v="5"/>
    <s v="Classic Accessories 840"/>
    <x v="0"/>
    <n v="4"/>
    <n v="4332.7299999999996"/>
    <n v="0.2"/>
    <n v="13864.74"/>
    <n v="11294.06"/>
    <n v="2570.6799999999998"/>
    <s v="Paid"/>
    <x v="0"/>
    <s v="OK"/>
    <s v="OK"/>
    <s v="OK"/>
    <s v="OK"/>
    <n v="6"/>
    <s v="Unique"/>
    <n v="0.2"/>
    <s v="Valid"/>
    <n v="13864.735999999999"/>
    <x v="213"/>
    <n v="0.18541110339208763"/>
    <x v="4"/>
    <x v="0"/>
    <s v="Clean"/>
  </r>
  <r>
    <s v="ORD-2024-10215"/>
    <d v="2024-03-17T00:00:00"/>
    <d v="2024-03-23T00:00:00"/>
    <s v="CUST-1301"/>
    <s v="Rahul Verma"/>
    <x v="0"/>
    <x v="0"/>
    <s v="Haryana"/>
    <s v="Gurugram"/>
    <x v="2"/>
    <x v="5"/>
    <s v="Classic Accessories 757"/>
    <x v="2"/>
    <n v="3"/>
    <n v="248.18"/>
    <n v="0.05"/>
    <n v="707.31"/>
    <n v="569"/>
    <n v="138.31"/>
    <s v="Paid"/>
    <x v="0"/>
    <s v="OK"/>
    <s v="OK"/>
    <s v="OK"/>
    <s v="OK"/>
    <n v="6"/>
    <s v="Unique"/>
    <n v="0.05"/>
    <s v="Valid"/>
    <n v="707.31299999999999"/>
    <x v="214"/>
    <n v="0.19554709159876885"/>
    <x v="11"/>
    <x v="0"/>
    <s v="Clean"/>
  </r>
  <r>
    <s v="ORD-2024-10216"/>
    <d v="2024-03-01T00:00:00"/>
    <d v="2024-03-04T00:00:00"/>
    <s v="CUST-8603"/>
    <s v="Mira Das"/>
    <x v="0"/>
    <x v="3"/>
    <s v="Madhya Pradesh"/>
    <s v="Indore"/>
    <x v="0"/>
    <x v="0"/>
    <s v="Prime Paper 286"/>
    <x v="2"/>
    <n v="8"/>
    <n v="3202.4"/>
    <n v="0.25"/>
    <n v="19214.400000000001"/>
    <n v="10916.01"/>
    <n v="8298.39"/>
    <s v="Paid"/>
    <x v="0"/>
    <s v="OK"/>
    <s v="OK"/>
    <s v="OK"/>
    <s v="OK"/>
    <n v="3"/>
    <s v="Unique"/>
    <n v="0.25"/>
    <s v="Valid"/>
    <n v="19214.400000000001"/>
    <x v="215"/>
    <n v="0.43188389957531853"/>
    <x v="11"/>
    <x v="0"/>
    <s v="Clean"/>
  </r>
  <r>
    <s v="ORD-2025-10217"/>
    <d v="2025-04-10T00:00:00"/>
    <d v="2025-04-15T00:00:00"/>
    <s v="CUST-4330"/>
    <s v="Isha Nair"/>
    <x v="0"/>
    <x v="3"/>
    <s v="Gujarat"/>
    <s v="Ahmedabad"/>
    <x v="1"/>
    <x v="1"/>
    <s v="Basic Tables 400"/>
    <x v="3"/>
    <n v="8"/>
    <n v="1839.87"/>
    <n v="0.25"/>
    <n v="11039.22"/>
    <n v="7642.91"/>
    <n v="3396.31"/>
    <s v="Failed"/>
    <x v="2"/>
    <s v="OK"/>
    <s v="OK"/>
    <s v="OK"/>
    <s v="OK"/>
    <n v="5"/>
    <s v="Unique"/>
    <n v="0.25"/>
    <s v="Valid"/>
    <n v="11039.22"/>
    <x v="216"/>
    <n v="0.30765851210502188"/>
    <x v="5"/>
    <x v="1"/>
    <s v="Clean"/>
  </r>
  <r>
    <s v="ORD-2025-10218"/>
    <d v="2025-04-01T00:00:00"/>
    <d v="2025-04-08T00:00:00"/>
    <s v="CUST-4533"/>
    <s v="Aditi Sen"/>
    <x v="0"/>
    <x v="1"/>
    <s v="Odisha"/>
    <s v="Bhubaneswar"/>
    <x v="1"/>
    <x v="10"/>
    <s v="Basic Bookcases 405"/>
    <x v="0"/>
    <n v="5"/>
    <n v="1021.28"/>
    <n v="0.1"/>
    <n v="4595.76"/>
    <n v="3396.8"/>
    <n v="1198.96"/>
    <s v="Refunded"/>
    <x v="1"/>
    <s v="OK"/>
    <s v="OK"/>
    <s v="OK"/>
    <s v="OK"/>
    <n v="7"/>
    <s v="Unique"/>
    <n v="0.1"/>
    <s v="Valid"/>
    <n v="4595.76"/>
    <x v="217"/>
    <n v="0.26088394520166414"/>
    <x v="5"/>
    <x v="1"/>
    <s v="Clean"/>
  </r>
  <r>
    <s v="ORD-2025-10219"/>
    <d v="2025-02-26T00:00:00"/>
    <d v="2025-02-27T00:00:00"/>
    <s v="CUST-8270"/>
    <s v="Priya Menon"/>
    <x v="2"/>
    <x v="3"/>
    <s v="Gujarat"/>
    <s v="Ahmedabad"/>
    <x v="1"/>
    <x v="10"/>
    <s v="Classic Bookcases 139"/>
    <x v="3"/>
    <n v="5"/>
    <n v="258.27999999999997"/>
    <n v="0"/>
    <n v="1291.4000000000001"/>
    <n v="756.93"/>
    <n v="534.47"/>
    <s v="Paid"/>
    <x v="0"/>
    <s v="OK"/>
    <s v="OK"/>
    <s v="OK"/>
    <s v="OK"/>
    <n v="1"/>
    <s v="Unique"/>
    <n v="0"/>
    <s v="Valid"/>
    <n v="1291.3999999999999"/>
    <x v="218"/>
    <n v="0.41386866966083319"/>
    <x v="6"/>
    <x v="1"/>
    <s v="Clean"/>
  </r>
  <r>
    <s v="ORD-2024-10220"/>
    <d v="2024-06-18T00:00:00"/>
    <d v="2024-06-19T00:00:00"/>
    <s v="CUST-1472"/>
    <s v="Rahul Verma"/>
    <x v="0"/>
    <x v="1"/>
    <s v="Bihar"/>
    <s v="Patna"/>
    <x v="2"/>
    <x v="12"/>
    <s v="Elite Machines 290"/>
    <x v="2"/>
    <n v="2"/>
    <n v="121.49"/>
    <s v="85%"/>
    <n v="242.98"/>
    <n v="161.41999999999999"/>
    <n v="81.56"/>
    <s v="Paid"/>
    <x v="0"/>
    <s v="OK"/>
    <s v="OK"/>
    <s v="OK"/>
    <s v="OK"/>
    <n v="1"/>
    <s v="Unique"/>
    <n v="0.85"/>
    <s v="Invalid: Above Allowed Range (Text Format)"/>
    <n v="36.447000000000003"/>
    <x v="219"/>
    <n v="-3.4288967541910162"/>
    <x v="2"/>
    <x v="0"/>
    <s v="Invalid"/>
  </r>
  <r>
    <s v="ORD-2024-10221"/>
    <d v="2024-09-03T00:00:00"/>
    <d v="2024-09-03T00:00:00"/>
    <s v="CUST-1031"/>
    <s v="Sneha Kapoor"/>
    <x v="0"/>
    <x v="2"/>
    <s v="Kerala"/>
    <s v="Kochi"/>
    <x v="0"/>
    <x v="8"/>
    <s v="Elite Storage 925"/>
    <x v="2"/>
    <n v="4"/>
    <n v="2810.17"/>
    <n v="0.15"/>
    <n v="9554.58"/>
    <n v="6068.47"/>
    <n v="3486.11"/>
    <s v="Refunded"/>
    <x v="1"/>
    <s v="OK"/>
    <s v="OK"/>
    <s v="OK"/>
    <s v="OK"/>
    <n v="0"/>
    <s v="Unique"/>
    <n v="0.15"/>
    <s v="Valid"/>
    <n v="9554.5779999999995"/>
    <x v="220"/>
    <n v="0.36486258210462036"/>
    <x v="7"/>
    <x v="0"/>
    <s v="Clean"/>
  </r>
  <r>
    <s v="ORD-2025-10222"/>
    <d v="2025-01-12T00:00:00"/>
    <d v="2025-01-15T00:00:00"/>
    <s v="CUST-2495"/>
    <s v="Mira Das"/>
    <x v="2"/>
    <x v="2"/>
    <s v="Karnataka"/>
    <s v="Bengaluru"/>
    <x v="1"/>
    <x v="4"/>
    <s v="Classic Chairs 231"/>
    <x v="1"/>
    <n v="4"/>
    <n v="1531.53"/>
    <n v="0.2"/>
    <n v="4900.8999999999996"/>
    <n v="3552.69"/>
    <n v="1348.21"/>
    <s v="Paid"/>
    <x v="0"/>
    <s v="OK"/>
    <s v="OK"/>
    <s v="OK"/>
    <s v="OK"/>
    <n v="3"/>
    <s v="Unique"/>
    <n v="0.2"/>
    <s v="Valid"/>
    <n v="4900.8959999999997"/>
    <x v="221"/>
    <n v="0.27509377877024932"/>
    <x v="10"/>
    <x v="1"/>
    <s v="Clean"/>
  </r>
  <r>
    <s v="ORD-2025-10223"/>
    <d v="2025-04-29T00:00:00"/>
    <d v="2025-05-02T00:00:00"/>
    <s v="CUST-4583"/>
    <s v="Vikram Iyer"/>
    <x v="1"/>
    <x v="3"/>
    <s v="Goa"/>
    <s v="Panaji"/>
    <x v="0"/>
    <x v="8"/>
    <s v="Prime Storage 818"/>
    <x v="2"/>
    <n v="6"/>
    <n v="4308.09"/>
    <n v="0"/>
    <n v="25848.54"/>
    <n v="17729.09"/>
    <n v="8119.45"/>
    <s v="Paid"/>
    <x v="0"/>
    <s v="OK"/>
    <s v="OK"/>
    <s v="OK"/>
    <s v="OK"/>
    <n v="3"/>
    <s v="Unique"/>
    <n v="0"/>
    <s v="Valid"/>
    <n v="25848.54"/>
    <x v="222"/>
    <n v="0.31411638723115504"/>
    <x v="5"/>
    <x v="1"/>
    <s v="Clean"/>
  </r>
  <r>
    <s v="ORD-2025-10224"/>
    <d v="2025-02-19T00:00:00"/>
    <d v="2025-02-26T00:00:00"/>
    <s v="CUST-5319"/>
    <s v="Mira Das"/>
    <x v="2"/>
    <x v="3"/>
    <s v="Maharashtra"/>
    <s v="Mumbai"/>
    <x v="1"/>
    <x v="3"/>
    <s v="Elite Furnishings 449"/>
    <x v="2"/>
    <n v="3"/>
    <n v="490.3"/>
    <n v="0.2"/>
    <n v="1176.72"/>
    <n v="654.33000000000004"/>
    <n v="522.39"/>
    <s v="Pending"/>
    <x v="2"/>
    <s v="OK"/>
    <s v="OK"/>
    <s v="OK"/>
    <s v="OK"/>
    <n v="7"/>
    <s v="Unique"/>
    <n v="0.2"/>
    <s v="Valid"/>
    <n v="1176.72"/>
    <x v="223"/>
    <n v="0.44393738527432181"/>
    <x v="6"/>
    <x v="1"/>
    <s v="Clean"/>
  </r>
  <r>
    <s v="ORD-2025-10225"/>
    <d v="2025-10-02T00:00:00"/>
    <d v="2025-10-08T00:00:00"/>
    <s v="CUST-9871"/>
    <s v="Isha Nair"/>
    <x v="1"/>
    <x v="0"/>
    <s v="Punjab"/>
    <s v="Ludhiana"/>
    <x v="1"/>
    <x v="3"/>
    <s v="Classic Furnishings 109"/>
    <x v="3"/>
    <n v="4"/>
    <n v="3944.64"/>
    <n v="0.25"/>
    <n v="11833.92"/>
    <n v="6682.92"/>
    <n v="5151"/>
    <s v="Paid"/>
    <x v="1"/>
    <s v="OK"/>
    <s v="OK"/>
    <s v="OK"/>
    <s v="OK"/>
    <n v="6"/>
    <s v="Conflicting Duplicate - Manual Review Required"/>
    <n v="0.25"/>
    <s v="Valid"/>
    <n v="11833.92"/>
    <x v="224"/>
    <n v="0.43527419485681834"/>
    <x v="9"/>
    <x v="1"/>
    <s v="Invalid"/>
  </r>
  <r>
    <s v="ORD-2024-10226"/>
    <d v="2024-09-02T00:00:00"/>
    <d v="2024-09-10T00:00:00"/>
    <s v="CUST-1266"/>
    <s v="Mira Das"/>
    <x v="2"/>
    <x v="3"/>
    <s v="Goa"/>
    <s v="Panaji"/>
    <x v="2"/>
    <x v="11"/>
    <s v="Classic Phones 548"/>
    <x v="3"/>
    <n v="6"/>
    <n v="1032.47"/>
    <n v="0.15"/>
    <n v="5265.6"/>
    <n v="4293.1099999999997"/>
    <n v="787.57"/>
    <s v="Paid"/>
    <x v="0"/>
    <s v="OK"/>
    <s v="OK"/>
    <s v="OK"/>
    <s v="OK"/>
    <n v="8"/>
    <s v="Unique"/>
    <n v="0.15"/>
    <s v="Valid"/>
    <n v="5265.5969999999998"/>
    <x v="225"/>
    <n v="0.18468694053114967"/>
    <x v="7"/>
    <x v="0"/>
    <s v="Clean"/>
  </r>
  <r>
    <s v="ORD-2025-10227"/>
    <d v="2025-04-10T00:00:00"/>
    <d v="2025-04-15T00:00:00"/>
    <s v="CUST-2545"/>
    <s v="Diya Patel"/>
    <x v="3"/>
    <x v="4"/>
    <s v="Kerala"/>
    <s v="Kochi"/>
    <x v="2"/>
    <x v="6"/>
    <s v="Max Copiers 363"/>
    <x v="1"/>
    <n v="1"/>
    <n v="2208.27"/>
    <n v="0.1"/>
    <n v="1987.44"/>
    <n v="1110.23"/>
    <n v="877.21"/>
    <s v="Paid"/>
    <x v="0"/>
    <s v="OK"/>
    <s v="OK"/>
    <s v="OK"/>
    <s v="OK"/>
    <n v="5"/>
    <s v="Unique"/>
    <n v="0.1"/>
    <s v="Valid"/>
    <n v="1987.443"/>
    <x v="226"/>
    <n v="0.44137768982556985"/>
    <x v="5"/>
    <x v="1"/>
    <s v="Warning"/>
  </r>
  <r>
    <s v="ORD-2024-10228"/>
    <d v="2024-07-05T00:00:00"/>
    <d v="2024-07-12T00:00:00"/>
    <s v="CUST-2819"/>
    <s v="Ananya Rao"/>
    <x v="1"/>
    <x v="3"/>
    <s v="Goa"/>
    <s v="Panaji"/>
    <x v="0"/>
    <x v="9"/>
    <s v="Prime Binders 507"/>
    <x v="2"/>
    <n v="3"/>
    <n v="577.75"/>
    <n v="0.15"/>
    <n v="1473.26"/>
    <n v="899.86"/>
    <n v="573.4"/>
    <s v="Paid"/>
    <x v="0"/>
    <s v="OK"/>
    <s v="OK"/>
    <s v="OK"/>
    <s v="OK"/>
    <n v="7"/>
    <s v="Unique"/>
    <n v="0.15"/>
    <s v="Valid"/>
    <n v="1473.2625"/>
    <x v="227"/>
    <n v="0.38920592901808065"/>
    <x v="0"/>
    <x v="0"/>
    <s v="Clean"/>
  </r>
  <r>
    <s v="ORD-2024-10229"/>
    <d v="2024-04-24T00:00:00"/>
    <d v="2024-04-28T00:00:00"/>
    <s v="CUST-1076"/>
    <s v="Karan Malhotra"/>
    <x v="1"/>
    <x v="2"/>
    <s v="Telangana"/>
    <s v="Hyderabad"/>
    <x v="0"/>
    <x v="7"/>
    <s v="Smart Labels 914"/>
    <x v="0"/>
    <n v="1"/>
    <n v="3194.37"/>
    <n v="0.15"/>
    <n v="2715.21"/>
    <n v="1551.55"/>
    <n v="1163.6600000000001"/>
    <s v="Paid"/>
    <x v="0"/>
    <s v="OK"/>
    <s v="OK"/>
    <s v="OK"/>
    <s v="OK"/>
    <n v="4"/>
    <s v="Unique"/>
    <n v="0.15"/>
    <s v="Valid"/>
    <n v="2715.2145"/>
    <x v="228"/>
    <n v="0.42857184948003191"/>
    <x v="5"/>
    <x v="0"/>
    <s v="Clean"/>
  </r>
  <r>
    <s v="ORD-2025-10230"/>
    <d v="2025-06-28T00:00:00"/>
    <d v="2025-07-04T00:00:00"/>
    <s v="CUST-1943"/>
    <s v="Rohan Mehta"/>
    <x v="0"/>
    <x v="2"/>
    <s v="Telangana"/>
    <s v="Hyderabad"/>
    <x v="1"/>
    <x v="10"/>
    <s v="Smart Bookcases 662"/>
    <x v="2"/>
    <n v="3"/>
    <n v="2886.23"/>
    <n v="0"/>
    <n v="8658.69"/>
    <n v="5535.94"/>
    <n v="3122.75"/>
    <s v="Refunded"/>
    <x v="2"/>
    <s v="OK"/>
    <s v="OK"/>
    <s v="OK"/>
    <s v="OK"/>
    <n v="6"/>
    <s v="Unique"/>
    <n v="0"/>
    <s v="Valid"/>
    <n v="8658.69"/>
    <x v="229"/>
    <n v="0.36064924370776652"/>
    <x v="2"/>
    <x v="1"/>
    <s v="Clean"/>
  </r>
  <r>
    <s v="ORD-2024-10231"/>
    <d v="2024-05-28T00:00:00"/>
    <d v="2024-06-03T00:00:00"/>
    <s v="CUST-3434"/>
    <s v="Neha Gupta"/>
    <x v="1"/>
    <x v="0"/>
    <s v="Rajasthan"/>
    <s v="Jaipur"/>
    <x v="0"/>
    <x v="0"/>
    <s v="Eco Paper 937"/>
    <x v="3"/>
    <n v="8"/>
    <n v="1540.33"/>
    <n v="0.1"/>
    <n v="11090.38"/>
    <n v="8840.9500000000007"/>
    <n v="2249.4299999999998"/>
    <s v="Paid"/>
    <x v="0"/>
    <s v="OK"/>
    <s v="OK"/>
    <s v="OK"/>
    <s v="OK"/>
    <n v="6"/>
    <s v="Unique"/>
    <n v="0.1"/>
    <s v="Valid"/>
    <n v="11090.376"/>
    <x v="230"/>
    <n v="0.20282684734944958"/>
    <x v="4"/>
    <x v="0"/>
    <s v="Clean"/>
  </r>
  <r>
    <s v="ORD-2024-10232"/>
    <d v="2024-05-02T00:00:00"/>
    <d v="2024-05-02T00:00:00"/>
    <s v="CUST-9139"/>
    <s v="Ananya Rao"/>
    <x v="2"/>
    <x v="0"/>
    <s v="Rajasthan"/>
    <s v="Jaipur"/>
    <x v="0"/>
    <x v="7"/>
    <s v="Max Labels 370"/>
    <x v="2"/>
    <n v="7"/>
    <n v="2183.38"/>
    <n v="0.25"/>
    <n v="11462.74"/>
    <n v="7163.54"/>
    <n v="4299.2"/>
    <s v="Refunded"/>
    <x v="1"/>
    <s v="OK"/>
    <s v="OK"/>
    <s v="OK"/>
    <s v="OK"/>
    <n v="0"/>
    <s v="Unique"/>
    <n v="0.25"/>
    <s v="Valid"/>
    <n v="11462.744999999999"/>
    <x v="231"/>
    <n v="0.37505894094302888"/>
    <x v="4"/>
    <x v="0"/>
    <s v="Clean"/>
  </r>
  <r>
    <s v="ORD-2025-10233"/>
    <d v="2025-06-04T00:00:00"/>
    <d v="2025-06-10T00:00:00"/>
    <s v="CUST-5341"/>
    <s v="Rahul Verma"/>
    <x v="0"/>
    <x v="2"/>
    <s v="Andhra Pradesh"/>
    <s v="Vijayawada"/>
    <x v="2"/>
    <x v="11"/>
    <s v="Classic Phones 530"/>
    <x v="3"/>
    <n v="4"/>
    <n v="223.37"/>
    <n v="0.25"/>
    <n v="670.11"/>
    <n v="559.57000000000005"/>
    <n v="110.54"/>
    <s v="Paid"/>
    <x v="0"/>
    <s v="OK"/>
    <s v="OK"/>
    <s v="OK"/>
    <s v="OK"/>
    <n v="6"/>
    <s v="Unique"/>
    <n v="0.25"/>
    <s v="Valid"/>
    <n v="670.11"/>
    <x v="232"/>
    <n v="0.16495799197146732"/>
    <x v="2"/>
    <x v="1"/>
    <s v="Clean"/>
  </r>
  <r>
    <s v="ORD-2024-10234"/>
    <d v="2024-10-14T00:00:00"/>
    <d v="2024-10-14T00:00:00"/>
    <s v="CUST-3710"/>
    <s v="Vikram Iyer"/>
    <x v="2"/>
    <x v="2"/>
    <s v="Karnataka"/>
    <s v="Bengaluru"/>
    <x v="1"/>
    <x v="10"/>
    <s v="Smart Bookcases 328"/>
    <x v="4"/>
    <n v="8"/>
    <n v="3904.59"/>
    <n v="0"/>
    <n v="31236.720000000001"/>
    <n v="26377.7"/>
    <n v="4859.0200000000004"/>
    <s v="Paid"/>
    <x v="0"/>
    <s v="OK"/>
    <s v="OK"/>
    <s v="OK"/>
    <s v="OK"/>
    <n v="0"/>
    <s v="Unique"/>
    <n v="0"/>
    <s v="Valid"/>
    <n v="31236.720000000001"/>
    <x v="233"/>
    <n v="0.15555474454424154"/>
    <x v="9"/>
    <x v="0"/>
    <s v="Warning"/>
  </r>
  <r>
    <s v="ORD-2024-10235"/>
    <d v="2024-09-02T00:00:00"/>
    <d v="2024-09-03T00:00:00"/>
    <s v="CUST-9754"/>
    <s v="Kabir Singh"/>
    <x v="3"/>
    <x v="0"/>
    <s v="Delhi"/>
    <s v="New Delhi"/>
    <x v="1"/>
    <x v="3"/>
    <s v="Eco Furnishings 981"/>
    <x v="2"/>
    <n v="9"/>
    <n v="1353.61"/>
    <n v="0.1"/>
    <n v="10964.24"/>
    <n v="9262.4699999999993"/>
    <n v="1701.77"/>
    <s v="Paid"/>
    <x v="0"/>
    <s v="OK"/>
    <s v="OK"/>
    <s v="OK"/>
    <s v="OK"/>
    <n v="1"/>
    <s v="Unique"/>
    <n v="0.1"/>
    <s v="Valid"/>
    <n v="10964.241"/>
    <x v="234"/>
    <n v="0.15521101734265058"/>
    <x v="7"/>
    <x v="0"/>
    <s v="Clean"/>
  </r>
  <r>
    <s v="ORD-2024-10236"/>
    <d v="2024-11-02T00:00:00"/>
    <d v="2024-11-03T00:00:00"/>
    <s v="CUST-6256"/>
    <s v="Rahul Verma"/>
    <x v="1"/>
    <x v="3"/>
    <s v="Rajasthan"/>
    <s v="Udaipur"/>
    <x v="0"/>
    <x v="8"/>
    <s v="Basic Storage 195"/>
    <x v="3"/>
    <n v="6"/>
    <n v="2671.29"/>
    <n v="0.05"/>
    <n v="15226.35"/>
    <n v="11145.28"/>
    <n v="4081.07"/>
    <s v="Paid"/>
    <x v="0"/>
    <s v="OK"/>
    <s v="OK"/>
    <s v="OK"/>
    <s v="OK"/>
    <n v="1"/>
    <s v="Unique"/>
    <n v="0.05"/>
    <s v="Valid"/>
    <n v="15226.352999999999"/>
    <x v="235"/>
    <n v="0.26802695300706603"/>
    <x v="3"/>
    <x v="0"/>
    <s v="Clean"/>
  </r>
  <r>
    <s v="ORD-2024-10237"/>
    <d v="2024-10-14T00:00:00"/>
    <d v="2024-10-21T00:00:00"/>
    <s v="CUST-7113"/>
    <s v="Priya Menon"/>
    <x v="2"/>
    <x v="0"/>
    <s v="Uttar Pradesh"/>
    <s v="Noida"/>
    <x v="1"/>
    <x v="10"/>
    <s v="Elite Bookcases 907"/>
    <x v="2"/>
    <n v="6"/>
    <n v="4062.78"/>
    <n v="0"/>
    <n v="24376.68"/>
    <n v="18533.39"/>
    <n v="5843.29"/>
    <s v="Paid"/>
    <x v="0"/>
    <s v="OK"/>
    <s v="OK"/>
    <s v="OK"/>
    <s v="OK"/>
    <n v="7"/>
    <s v="Unique"/>
    <n v="0"/>
    <s v="Valid"/>
    <n v="24376.68"/>
    <x v="236"/>
    <n v="0.23970819652224998"/>
    <x v="9"/>
    <x v="0"/>
    <s v="Clean"/>
  </r>
  <r>
    <s v="ORD-2024-10238"/>
    <d v="2024-08-27T00:00:00"/>
    <d v="2024-08-27T00:00:00"/>
    <s v="CUST-3827"/>
    <s v="Mira Das"/>
    <x v="0"/>
    <x v="0"/>
    <s v="Haryana"/>
    <s v="Gurugram"/>
    <x v="2"/>
    <x v="6"/>
    <s v="Smart Copiers 471"/>
    <x v="3"/>
    <n v="9"/>
    <n v="2330.3000000000002"/>
    <n v="0"/>
    <n v="20972.7"/>
    <n v="13504.88"/>
    <n v="7467.82"/>
    <s v="Paid"/>
    <x v="0"/>
    <s v="OK"/>
    <s v="OK"/>
    <s v="OK"/>
    <s v="OK"/>
    <n v="0"/>
    <s v="Unique"/>
    <n v="0"/>
    <s v="Valid"/>
    <n v="20972.7"/>
    <x v="237"/>
    <n v="0.35607337157352181"/>
    <x v="1"/>
    <x v="0"/>
    <s v="Clean"/>
  </r>
  <r>
    <s v="ORD-2024-10239"/>
    <d v="2024-01-12T00:00:00"/>
    <d v="2024-01-17T00:00:00"/>
    <s v="CUST-2375"/>
    <s v="Arjun Bose"/>
    <x v="0"/>
    <x v="2"/>
    <s v="Andhra Pradesh"/>
    <s v="Vijayawada"/>
    <x v="0"/>
    <x v="8"/>
    <s v="Prime Storage 625"/>
    <x v="2"/>
    <n v="7"/>
    <n v="4005.05"/>
    <n v="0.55000000000000004"/>
    <n v="26633.58"/>
    <n v="18838.75"/>
    <n v="7794.83"/>
    <s v="Paid"/>
    <x v="0"/>
    <s v="OK"/>
    <s v="OK"/>
    <s v="OK"/>
    <s v="OK"/>
    <n v="5"/>
    <s v="Unique"/>
    <n v="0.55000000000000004"/>
    <s v="Valid"/>
    <n v="12615.907499999999"/>
    <x v="238"/>
    <n v="-0.4932536561480021"/>
    <x v="10"/>
    <x v="0"/>
    <s v="Clean"/>
  </r>
  <r>
    <s v="ORD-2024-10240"/>
    <d v="2024-09-21T00:00:00"/>
    <d v="2024-09-21T00:00:00"/>
    <s v="CUST-2233"/>
    <s v="Kabir Singh"/>
    <x v="2"/>
    <x v="2"/>
    <s v="Karnataka"/>
    <s v="Bengaluru"/>
    <x v="2"/>
    <x v="12"/>
    <s v="Smart Machines 801"/>
    <x v="2"/>
    <n v="2"/>
    <n v="1960.06"/>
    <n v="0.2"/>
    <n v="3136.1"/>
    <n v="2279.4899999999998"/>
    <n v="856.61"/>
    <s v="Paid"/>
    <x v="0"/>
    <s v="OK"/>
    <s v="OK"/>
    <s v="OK"/>
    <s v="OK"/>
    <n v="0"/>
    <s v="Unique"/>
    <n v="0.2"/>
    <s v="Valid"/>
    <n v="3136.096"/>
    <x v="239"/>
    <n v="0.273144061916472"/>
    <x v="7"/>
    <x v="0"/>
    <s v="Clean"/>
  </r>
  <r>
    <s v="ORD-2024-10241"/>
    <d v="2024-12-17T00:00:00"/>
    <d v="2024-12-23T00:00:00"/>
    <s v="CUST-9778"/>
    <s v="Aarav Sharma"/>
    <x v="2"/>
    <x v="2"/>
    <s v="Telangana"/>
    <s v="Hyderabad"/>
    <x v="0"/>
    <x v="9"/>
    <s v="Max Binders 170"/>
    <x v="2"/>
    <n v="9"/>
    <n v="2315.1"/>
    <n v="0"/>
    <n v="20835.900000000001"/>
    <n v="13928.19"/>
    <n v="6907.71"/>
    <s v="Paid"/>
    <x v="0"/>
    <s v="OK"/>
    <s v="OK"/>
    <s v="OK"/>
    <s v="OK"/>
    <n v="6"/>
    <s v="Unique"/>
    <n v="0"/>
    <s v="Valid"/>
    <n v="20835.899999999998"/>
    <x v="240"/>
    <n v="0.33152923559817421"/>
    <x v="8"/>
    <x v="0"/>
    <s v="Clean"/>
  </r>
  <r>
    <s v="ORD-2025-10242"/>
    <d v="2025-07-06T00:00:00"/>
    <d v="2025-07-06T00:00:00"/>
    <s v="CUST-6949"/>
    <s v="Sneha Kapoor"/>
    <x v="2"/>
    <x v="0"/>
    <s v="Haryana"/>
    <s v="Gurugram"/>
    <x v="0"/>
    <x v="8"/>
    <s v="Basic Storage 737"/>
    <x v="3"/>
    <n v="1"/>
    <n v="1617.2"/>
    <n v="0.25"/>
    <n v="1212.9000000000001"/>
    <n v="690.52"/>
    <n v="522.38"/>
    <s v="Pending"/>
    <x v="2"/>
    <s v="OK"/>
    <s v="OK"/>
    <s v="OK"/>
    <s v="OK"/>
    <n v="0"/>
    <s v="Unique"/>
    <n v="0.25"/>
    <s v="Valid"/>
    <n v="1212.9000000000001"/>
    <x v="241"/>
    <n v="0.4306867837414462"/>
    <x v="0"/>
    <x v="1"/>
    <s v="Clean"/>
  </r>
  <r>
    <s v="ORD-2025-10243"/>
    <d v="2025-02-07T00:00:00"/>
    <d v="2025-02-07T00:00:00"/>
    <s v="CUST-3430"/>
    <s v="Arjun Bose"/>
    <x v="0"/>
    <x v="0"/>
    <s v="Uttar Pradesh"/>
    <s v="Noida"/>
    <x v="0"/>
    <x v="2"/>
    <s v="Classic Art 126"/>
    <x v="0"/>
    <n v="3"/>
    <n v="1999.24"/>
    <n v="0.05"/>
    <n v="5697.83"/>
    <n v="4251.5"/>
    <n v="1446.33"/>
    <s v="Paid"/>
    <x v="0"/>
    <s v="OK"/>
    <s v="OK"/>
    <s v="OK"/>
    <s v="OK"/>
    <n v="0"/>
    <s v="Unique"/>
    <n v="0.05"/>
    <s v="Valid"/>
    <n v="5697.8339999999998"/>
    <x v="242"/>
    <n v="0.25383926593860051"/>
    <x v="6"/>
    <x v="1"/>
    <s v="Clean"/>
  </r>
  <r>
    <s v="ORD-2025-10244"/>
    <d v="2025-07-29T00:00:00"/>
    <d v="2025-08-02T00:00:00"/>
    <s v="CUST-6310"/>
    <s v="Sneha Kapoor"/>
    <x v="1"/>
    <x v="4"/>
    <s v="Madhya Pradesh"/>
    <s v="Indore"/>
    <x v="2"/>
    <x v="5"/>
    <s v="Prime Accessories 243"/>
    <x v="2"/>
    <n v="1"/>
    <n v="4499.46"/>
    <n v="0.1"/>
    <n v="4049.51"/>
    <n v="2509.1999999999998"/>
    <n v="1540.31"/>
    <s v="Paid"/>
    <x v="0"/>
    <s v="OK"/>
    <s v="OK"/>
    <s v="OK"/>
    <s v="OK"/>
    <n v="4"/>
    <s v="Unique"/>
    <n v="0.1"/>
    <s v="Valid"/>
    <n v="4049.5140000000001"/>
    <x v="243"/>
    <n v="0.38037008885510715"/>
    <x v="0"/>
    <x v="1"/>
    <s v="Warning"/>
  </r>
  <r>
    <s v="ORD-2024-10245"/>
    <d v="2024-08-23T00:00:00"/>
    <d v="2024-08-24T00:00:00"/>
    <s v="CUST-6008"/>
    <s v="Neha Gupta"/>
    <x v="0"/>
    <x v="2"/>
    <s v="Telangana"/>
    <s v="Hyderabad"/>
    <x v="1"/>
    <x v="10"/>
    <s v="Eco Bookcases 768"/>
    <x v="1"/>
    <n v="6"/>
    <n v="1021.89"/>
    <n v="0"/>
    <n v="6131.34"/>
    <n v="4060.88"/>
    <n v="2070.46"/>
    <s v="Paid"/>
    <x v="0"/>
    <s v="OK"/>
    <s v="OK"/>
    <s v="OK"/>
    <s v="OK"/>
    <n v="1"/>
    <s v="Unique"/>
    <n v="0"/>
    <s v="Valid"/>
    <n v="6131.34"/>
    <x v="244"/>
    <n v="0.33768474754295147"/>
    <x v="1"/>
    <x v="0"/>
    <s v="Clean"/>
  </r>
  <r>
    <s v="ORD-2024-10246"/>
    <d v="2024-10-18T00:00:00"/>
    <d v="2024-10-24T00:00:00"/>
    <s v="CUST-1704"/>
    <s v="Neha Gupta"/>
    <x v="3"/>
    <x v="2"/>
    <s v="Kerala"/>
    <s v="Kochi"/>
    <x v="1"/>
    <x v="4"/>
    <s v="Pro Chairs 316"/>
    <x v="0"/>
    <n v="3"/>
    <n v="3275.93"/>
    <n v="0"/>
    <n v="9827.7900000000009"/>
    <n v="5478.28"/>
    <n v="4349.51"/>
    <s v="Paid"/>
    <x v="0"/>
    <s v="OK"/>
    <s v="OK"/>
    <s v="OK"/>
    <s v="OK"/>
    <n v="6"/>
    <s v="Unique"/>
    <n v="0"/>
    <s v="Valid"/>
    <n v="9827.7899999999991"/>
    <x v="245"/>
    <n v="0.44257254174132737"/>
    <x v="9"/>
    <x v="0"/>
    <s v="Clean"/>
  </r>
  <r>
    <s v="ORD-2024-10247"/>
    <d v="2024-05-04T00:00:00"/>
    <d v="2024-05-09T00:00:00"/>
    <s v="CUST-1827"/>
    <s v="Ananya Rao"/>
    <x v="2"/>
    <x v="0"/>
    <s v="Punjab"/>
    <s v="Ludhiana"/>
    <x v="2"/>
    <x v="12"/>
    <s v="Classic Machines 819"/>
    <x v="1"/>
    <n v="3"/>
    <n v="231.95"/>
    <n v="0.25"/>
    <n v="521.89"/>
    <n v="444.52"/>
    <n v="77.37"/>
    <s v="Refunded"/>
    <x v="1"/>
    <s v="OK"/>
    <s v="OK"/>
    <s v="OK"/>
    <s v="OK"/>
    <n v="5"/>
    <s v="Unique"/>
    <n v="0.25"/>
    <s v="Valid"/>
    <n v="521.88749999999993"/>
    <x v="246"/>
    <n v="0.14824555100476627"/>
    <x v="4"/>
    <x v="0"/>
    <s v="Clean"/>
  </r>
  <r>
    <s v="ORD-2024-10248"/>
    <d v="2024-07-25T00:00:00"/>
    <d v="2024-08-01T00:00:00"/>
    <s v="CUST-6663"/>
    <s v="Rahul Verma"/>
    <x v="2"/>
    <x v="0"/>
    <s v="Rajasthan"/>
    <s v="Jaipur"/>
    <x v="2"/>
    <x v="5"/>
    <s v="Smart Accessories 572"/>
    <x v="0"/>
    <n v="8"/>
    <n v="2493.4"/>
    <n v="0.25"/>
    <n v="14960.4"/>
    <n v="12500.84"/>
    <n v="2459.56"/>
    <s v="Paid"/>
    <x v="0"/>
    <s v="OK"/>
    <s v="OK"/>
    <s v="OK"/>
    <s v="OK"/>
    <n v="7"/>
    <s v="Unique"/>
    <n v="0.25"/>
    <s v="Valid"/>
    <n v="14960.400000000001"/>
    <x v="247"/>
    <n v="0.16440469506162944"/>
    <x v="0"/>
    <x v="0"/>
    <s v="Clean"/>
  </r>
  <r>
    <s v="ORD-2024-10249"/>
    <d v="2024-06-02T00:00:00"/>
    <d v="2024-06-07T00:00:00"/>
    <s v="CUST-6278"/>
    <s v="Rohan Mehta"/>
    <x v="3"/>
    <x v="1"/>
    <s v="Odisha"/>
    <s v="Bhubaneswar"/>
    <x v="0"/>
    <x v="7"/>
    <s v="Basic Labels 432"/>
    <x v="0"/>
    <n v="9"/>
    <n v="787.91"/>
    <n v="0.15"/>
    <n v="6027.51"/>
    <n v="4883.82"/>
    <n v="1143.69"/>
    <s v="Paid"/>
    <x v="0"/>
    <s v="OK"/>
    <s v="OK"/>
    <s v="OK"/>
    <s v="OK"/>
    <n v="5"/>
    <s v="Unique"/>
    <n v="0.15"/>
    <s v="Valid"/>
    <n v="6027.5114999999996"/>
    <x v="248"/>
    <n v="0.18974522072666306"/>
    <x v="2"/>
    <x v="0"/>
    <s v="Clean"/>
  </r>
  <r>
    <s v="ORD-2025-10250"/>
    <d v="2025-08-01T00:00:00"/>
    <d v="2025-08-02T00:00:00"/>
    <s v="CUST-2305"/>
    <s v="Mira Das"/>
    <x v="2"/>
    <x v="0"/>
    <s v="Rajasthan"/>
    <s v="Jaipur"/>
    <x v="1"/>
    <x v="3"/>
    <s v="Classic Furnishings 378"/>
    <x v="2"/>
    <n v="4"/>
    <n v="2790.29"/>
    <n v="0.2"/>
    <n v="8928.93"/>
    <n v="5634.38"/>
    <n v="3294.55"/>
    <s v="Paid"/>
    <x v="0"/>
    <s v="OK"/>
    <s v="OK"/>
    <s v="OK"/>
    <s v="OK"/>
    <n v="1"/>
    <s v="Unique"/>
    <n v="0.2"/>
    <s v="Valid"/>
    <n v="8928.9279999999999"/>
    <x v="249"/>
    <n v="0.36897464062875185"/>
    <x v="1"/>
    <x v="1"/>
    <s v="Clean"/>
  </r>
  <r>
    <s v="ORD-2024-10251"/>
    <d v="2024-02-21T00:00:00"/>
    <d v="2024-02-27T00:00:00"/>
    <s v="CUST-5351"/>
    <s v="Arjun Bose"/>
    <x v="1"/>
    <x v="1"/>
    <s v="West Bengal"/>
    <s v="Kolkata"/>
    <x v="1"/>
    <x v="3"/>
    <s v="Prime Furnishings 781"/>
    <x v="3"/>
    <n v="5"/>
    <n v="3373.86"/>
    <n v="0.15"/>
    <n v="14338.9"/>
    <n v="11897.65"/>
    <n v="2441.25"/>
    <s v="Pending"/>
    <x v="2"/>
    <s v="OK"/>
    <s v="OK"/>
    <s v="OK"/>
    <s v="OK"/>
    <n v="6"/>
    <s v="Unique"/>
    <n v="0.15"/>
    <s v="Valid"/>
    <n v="14338.904999999999"/>
    <x v="250"/>
    <n v="0.17025393501107647"/>
    <x v="6"/>
    <x v="0"/>
    <s v="Clean"/>
  </r>
  <r>
    <s v="ORD-2025-10252"/>
    <d v="2025-04-06T00:00:00"/>
    <d v="2025-04-10T00:00:00"/>
    <s v="CUST-6268"/>
    <s v="Ananya Rao"/>
    <x v="2"/>
    <x v="3"/>
    <s v="Gujarat"/>
    <s v="Ahmedabad"/>
    <x v="1"/>
    <x v="1"/>
    <s v="Prime Tables 263"/>
    <x v="0"/>
    <n v="6"/>
    <n v="1022.16"/>
    <n v="0"/>
    <n v="6132.96"/>
    <n v="4881.1000000000004"/>
    <n v="1251.8599999999999"/>
    <s v="Paid"/>
    <x v="0"/>
    <s v="OK"/>
    <s v="OK"/>
    <s v="OK"/>
    <s v="OK"/>
    <n v="4"/>
    <s v="Unique"/>
    <n v="0"/>
    <s v="Valid"/>
    <n v="6132.96"/>
    <x v="251"/>
    <n v="0.20412003339333692"/>
    <x v="5"/>
    <x v="1"/>
    <s v="Clean"/>
  </r>
  <r>
    <s v="ORD-2025-10253"/>
    <d v="2025-06-25T00:00:00"/>
    <d v="2025-06-28T00:00:00"/>
    <s v="CUST-2103"/>
    <s v="Arjun Bose"/>
    <x v="2"/>
    <x v="0"/>
    <s v="Haryana"/>
    <s v="Gurugram"/>
    <x v="0"/>
    <x v="8"/>
    <s v="Basic Storage 269"/>
    <x v="2"/>
    <n v="2"/>
    <n v="1455.92"/>
    <n v="0.2"/>
    <n v="2329.4699999999998"/>
    <n v="1603.62"/>
    <n v="725.85"/>
    <s v="Pending"/>
    <x v="2"/>
    <s v="OK"/>
    <s v="OK"/>
    <s v="OK"/>
    <s v="OK"/>
    <n v="3"/>
    <s v="Unique"/>
    <n v="0.2"/>
    <s v="Valid"/>
    <n v="2329.4720000000002"/>
    <x v="252"/>
    <n v="0.31159507390515973"/>
    <x v="2"/>
    <x v="1"/>
    <s v="Clean"/>
  </r>
  <r>
    <s v="ORD-2024-10254"/>
    <d v="2024-09-12T00:00:00"/>
    <d v="2024-09-13T00:00:00"/>
    <s v="CUST-5394"/>
    <s v="Priya Menon"/>
    <x v="1"/>
    <x v="0"/>
    <s v="Rajasthan"/>
    <s v="Jaipur"/>
    <x v="2"/>
    <x v="11"/>
    <s v="Classic Phones 442"/>
    <x v="1"/>
    <n v="6"/>
    <n v="832.79"/>
    <n v="0.05"/>
    <n v="4746.8999999999996"/>
    <n v="2825.38"/>
    <n v="1472.89"/>
    <s v="Refunded"/>
    <x v="1"/>
    <s v="OK"/>
    <s v="OK"/>
    <s v="OK"/>
    <s v="OK"/>
    <n v="1"/>
    <s v="Unique"/>
    <n v="0.05"/>
    <s v="Valid"/>
    <n v="4746.9029999999993"/>
    <x v="253"/>
    <n v="0.40479508428969363"/>
    <x v="7"/>
    <x v="0"/>
    <s v="Clean"/>
  </r>
  <r>
    <s v="ORD-2025-10255"/>
    <d v="2025-01-01T00:00:00"/>
    <d v="2025-01-03T00:00:00"/>
    <s v="CUST-6853"/>
    <s v="Ananya Rao"/>
    <x v="0"/>
    <x v="3"/>
    <s v="Madhya Pradesh"/>
    <s v="Indore"/>
    <x v="2"/>
    <x v="5"/>
    <s v="Elite Accessories 978"/>
    <x v="1"/>
    <n v="7"/>
    <n v="1000.55"/>
    <n v="0.2"/>
    <n v="5603.08"/>
    <n v="3132.52"/>
    <n v="2470.56"/>
    <s v="Paid"/>
    <x v="2"/>
    <s v="OK"/>
    <s v="OK"/>
    <s v="OK"/>
    <s v="OK"/>
    <n v="2"/>
    <s v="Unique"/>
    <n v="0.2"/>
    <s v="Valid"/>
    <n v="5603.08"/>
    <x v="254"/>
    <n v="0.44092891766671188"/>
    <x v="10"/>
    <x v="1"/>
    <s v="Clean"/>
  </r>
  <r>
    <s v="ORD-2025-10256"/>
    <d v="2025-02-04T00:00:00"/>
    <d v="2025-02-10T00:00:00"/>
    <s v="CUST-1549"/>
    <s v="Isha Nair"/>
    <x v="2"/>
    <x v="3"/>
    <s v="Maharashtra"/>
    <s v="Mumbai"/>
    <x v="2"/>
    <x v="11"/>
    <s v="Eco Phones 132"/>
    <x v="2"/>
    <n v="7"/>
    <n v="1830"/>
    <n v="0"/>
    <n v="12810"/>
    <n v="9334.1200000000008"/>
    <n v="3475.88"/>
    <s v="Paid"/>
    <x v="0"/>
    <s v="OK"/>
    <s v="OK"/>
    <s v="OK"/>
    <s v="OK"/>
    <n v="6"/>
    <s v="Unique"/>
    <n v="0"/>
    <s v="Valid"/>
    <n v="12810"/>
    <x v="255"/>
    <n v="0.27134113973458229"/>
    <x v="6"/>
    <x v="1"/>
    <s v="Clean"/>
  </r>
  <r>
    <s v="ORD-2024-10257"/>
    <d v="2024-11-05T00:00:00"/>
    <d v="2024-11-03T00:00:00"/>
    <s v="CUST-8411"/>
    <s v="Ananya Rao"/>
    <x v="0"/>
    <x v="1"/>
    <s v="West Bengal"/>
    <s v="Kolkata"/>
    <x v="1"/>
    <x v="1"/>
    <s v="Prime Tables 481"/>
    <x v="2"/>
    <n v="9"/>
    <n v="2260.61"/>
    <n v="0.05"/>
    <n v="19328.22"/>
    <n v="12039.5"/>
    <n v="7288.72"/>
    <s v="Paid"/>
    <x v="0"/>
    <s v="OK"/>
    <s v="OK"/>
    <s v="OK"/>
    <s v="Invalid: Ship Before Order"/>
    <n v="-2"/>
    <s v="Unique"/>
    <n v="0.05"/>
    <s v="Valid"/>
    <n v="19328.215500000002"/>
    <x v="256"/>
    <n v="0.3771023507058891"/>
    <x v="3"/>
    <x v="0"/>
    <s v="Invalid"/>
  </r>
  <r>
    <s v="ORD-2025-10258"/>
    <d v="2025-08-09T00:00:00"/>
    <d v="2025-08-12T00:00:00"/>
    <s v="CUST-5615"/>
    <s v="Diya Patel"/>
    <x v="2"/>
    <x v="2"/>
    <s v="Karnataka"/>
    <s v="Bengaluru"/>
    <x v="2"/>
    <x v="5"/>
    <s v="Smart Accessories 180"/>
    <x v="0"/>
    <n v="2"/>
    <n v="3237.27"/>
    <n v="0"/>
    <n v="6474.54"/>
    <n v="5095.91"/>
    <n v="1378.63"/>
    <s v="Paid"/>
    <x v="1"/>
    <s v="OK"/>
    <s v="OK"/>
    <s v="OK"/>
    <s v="OK"/>
    <n v="3"/>
    <s v="Unique"/>
    <n v="0"/>
    <s v="Valid"/>
    <n v="6474.54"/>
    <x v="257"/>
    <n v="0.21293095725719513"/>
    <x v="1"/>
    <x v="1"/>
    <s v="Clean"/>
  </r>
  <r>
    <s v="ORD-2024-10259"/>
    <d v="2024-12-30T00:00:00"/>
    <d v="2025-01-04T00:00:00"/>
    <s v="CUST-8467"/>
    <s v="Sneha Kapoor"/>
    <x v="2"/>
    <x v="2"/>
    <s v="Tamil Nadu"/>
    <s v="Chennai"/>
    <x v="1"/>
    <x v="1"/>
    <s v="Smart Tables 774"/>
    <x v="1"/>
    <n v="2"/>
    <n v="3720.07"/>
    <n v="0.25"/>
    <n v="5580.11"/>
    <n v="4307.01"/>
    <n v="1273.0999999999999"/>
    <s v="Paid"/>
    <x v="0"/>
    <s v="OK"/>
    <s v="OK"/>
    <s v="OK"/>
    <s v="OK"/>
    <n v="5"/>
    <s v="Unique"/>
    <n v="0.25"/>
    <s v="Valid"/>
    <n v="5580.1050000000005"/>
    <x v="258"/>
    <n v="0.22814893268137429"/>
    <x v="8"/>
    <x v="0"/>
    <s v="Clean"/>
  </r>
  <r>
    <s v="ORD-2024-10260"/>
    <d v="2024-06-21T00:00:00"/>
    <d v="2024-06-29T00:00:00"/>
    <s v="CUST-5174"/>
    <s v="Neha Gupta"/>
    <x v="0"/>
    <x v="2"/>
    <s v="Tamil Nadu"/>
    <s v="Chennai"/>
    <x v="2"/>
    <x v="12"/>
    <s v="Prime Machines 793"/>
    <x v="3"/>
    <n v="8"/>
    <n v="2853.92"/>
    <n v="0.2"/>
    <n v="18265.09"/>
    <n v="10437.14"/>
    <n v="7827.95"/>
    <s v="Paid"/>
    <x v="0"/>
    <s v="OK"/>
    <s v="OK"/>
    <s v="OK"/>
    <s v="OK"/>
    <n v="8"/>
    <s v="Unique"/>
    <n v="0.2"/>
    <s v="Valid"/>
    <n v="18265.088"/>
    <x v="259"/>
    <n v="0.42857433810338064"/>
    <x v="2"/>
    <x v="0"/>
    <s v="Clean"/>
  </r>
  <r>
    <s v="ORD-2025-10261"/>
    <d v="2025-09-23T00:00:00"/>
    <d v="2025-09-27T00:00:00"/>
    <s v="CUST-3543"/>
    <s v="Aditi Sen"/>
    <x v="2"/>
    <x v="1"/>
    <s v="West Bengal"/>
    <s v="Kolkata"/>
    <x v="0"/>
    <x v="9"/>
    <s v="Elite Binders 827"/>
    <x v="1"/>
    <n v="7"/>
    <n v="2897.12"/>
    <n v="0.25"/>
    <n v="15209.88"/>
    <n v="10891.15"/>
    <n v="4318.7299999999996"/>
    <s v="Failed"/>
    <x v="2"/>
    <s v="OK"/>
    <s v="OK"/>
    <s v="OK"/>
    <s v="OK"/>
    <n v="4"/>
    <s v="Unique"/>
    <n v="0.25"/>
    <s v="Valid"/>
    <n v="15209.880000000001"/>
    <x v="260"/>
    <n v="0.28394241111698454"/>
    <x v="7"/>
    <x v="1"/>
    <s v="Clean"/>
  </r>
  <r>
    <s v="ORD-2025-10262"/>
    <d v="2025-06-18T00:00:00"/>
    <d v="2025-06-24T00:00:00"/>
    <s v="CUST-7623"/>
    <s v="Sneha Kapoor"/>
    <x v="2"/>
    <x v="0"/>
    <s v="Rajasthan"/>
    <s v="Jaipur"/>
    <x v="0"/>
    <x v="7"/>
    <s v="Prime Labels 326"/>
    <x v="3"/>
    <n v="3"/>
    <n v="686.74"/>
    <n v="0.2"/>
    <n v="1648.18"/>
    <n v="987.91"/>
    <n v="660.27"/>
    <s v="Failed"/>
    <x v="1"/>
    <s v="OK"/>
    <s v="OK"/>
    <s v="OK"/>
    <s v="OK"/>
    <n v="6"/>
    <s v="Unique"/>
    <n v="0.2"/>
    <s v="Valid"/>
    <n v="1648.1760000000004"/>
    <x v="261"/>
    <n v="0.40060406170214846"/>
    <x v="2"/>
    <x v="1"/>
    <s v="Clean"/>
  </r>
  <r>
    <s v="ORD-2025-10263"/>
    <d v="2025-05-26T00:00:00"/>
    <d v="2025-06-01T00:00:00"/>
    <s v="CUST-6153"/>
    <s v="Arjun Bose"/>
    <x v="1"/>
    <x v="0"/>
    <s v="Delhi"/>
    <s v="New Delhi"/>
    <x v="2"/>
    <x v="11"/>
    <s v="Eco Phones 245"/>
    <x v="1"/>
    <n v="4"/>
    <n v="3349.86"/>
    <n v="0"/>
    <n v="13399.44"/>
    <n v="8581.35"/>
    <n v="4818.09"/>
    <s v="Pending"/>
    <x v="2"/>
    <s v="OK"/>
    <s v="OK"/>
    <s v="OK"/>
    <s v="OK"/>
    <n v="6"/>
    <s v="Unique"/>
    <n v="0"/>
    <s v="Valid"/>
    <n v="13399.44"/>
    <x v="262"/>
    <n v="0.3595739821962709"/>
    <x v="4"/>
    <x v="1"/>
    <s v="Clean"/>
  </r>
  <r>
    <s v="ORD-2025-10264"/>
    <d v="2025-08-06T00:00:00"/>
    <d v="2025-08-10T00:00:00"/>
    <s v="CUST-8265"/>
    <s v="Rohan Mehta"/>
    <x v="1"/>
    <x v="0"/>
    <s v="Delhi"/>
    <s v="New Delhi"/>
    <x v="0"/>
    <x v="9"/>
    <s v="Smart Binders 905"/>
    <x v="0"/>
    <n v="9"/>
    <n v="4042.45"/>
    <n v="0.1"/>
    <n v="32743.84"/>
    <n v="22452.05"/>
    <n v="10291.790000000001"/>
    <s v="Pending"/>
    <x v="2"/>
    <s v="OK"/>
    <s v="OK"/>
    <s v="OK"/>
    <s v="OK"/>
    <n v="4"/>
    <s v="Unique"/>
    <n v="0.1"/>
    <s v="Valid"/>
    <n v="32743.844999999998"/>
    <x v="263"/>
    <n v="0.314312353970647"/>
    <x v="1"/>
    <x v="1"/>
    <s v="Clean"/>
  </r>
  <r>
    <s v="ORD-2024-10265"/>
    <d v="2024-05-16T00:00:00"/>
    <d v="2024-05-21T00:00:00"/>
    <s v="CUST-4750"/>
    <s v="Diya Patel"/>
    <x v="1"/>
    <x v="1"/>
    <s v="Bihar"/>
    <s v="Patna"/>
    <x v="2"/>
    <x v="6"/>
    <s v="Pro Copiers 599"/>
    <x v="3"/>
    <n v="4"/>
    <n v="1503.07"/>
    <n v="0"/>
    <n v="6012.28"/>
    <n v="3927.64"/>
    <n v="2084.64"/>
    <s v="Paid"/>
    <x v="0"/>
    <s v="OK"/>
    <s v="OK"/>
    <s v="OK"/>
    <s v="OK"/>
    <n v="5"/>
    <s v="Unique"/>
    <n v="0"/>
    <s v="Valid"/>
    <n v="6012.28"/>
    <x v="264"/>
    <n v="0.34673035853286938"/>
    <x v="4"/>
    <x v="0"/>
    <s v="Clean"/>
  </r>
  <r>
    <s v="ORD-2024-10266"/>
    <d v="2024-11-14T00:00:00"/>
    <d v="2024-11-22T00:00:00"/>
    <s v="CUST-3974"/>
    <s v="Priya Menon"/>
    <x v="2"/>
    <x v="1"/>
    <s v="Bihar"/>
    <s v="Patna"/>
    <x v="1"/>
    <x v="10"/>
    <s v="Basic Bookcases 570"/>
    <x v="1"/>
    <n v="1"/>
    <n v="582.37"/>
    <n v="0.15"/>
    <n v="495.01"/>
    <n v="285.13"/>
    <n v="209.88"/>
    <s v="Refunded"/>
    <x v="1"/>
    <s v="OK"/>
    <s v="OK"/>
    <s v="OK"/>
    <s v="OK"/>
    <n v="8"/>
    <s v="Unique"/>
    <n v="0.15"/>
    <s v="Valid"/>
    <n v="495.0145"/>
    <x v="265"/>
    <n v="0.42399667080459258"/>
    <x v="3"/>
    <x v="0"/>
    <s v="Clean"/>
  </r>
  <r>
    <s v="ORD-2025-10267"/>
    <d v="2025-05-03T00:00:00"/>
    <d v="2025-05-10T00:00:00"/>
    <s v="CUST-7114"/>
    <s v="Neha Gupta"/>
    <x v="3"/>
    <x v="3"/>
    <s v="Maharashtra"/>
    <s v="Mumbai"/>
    <x v="0"/>
    <x v="8"/>
    <s v="Classic Storage 926"/>
    <x v="0"/>
    <n v="3"/>
    <n v="4339.24"/>
    <n v="0"/>
    <n v="13017.72"/>
    <n v="10170.57"/>
    <n v="2847.15"/>
    <s v="Paid"/>
    <x v="0"/>
    <s v="OK"/>
    <s v="OK"/>
    <s v="OK"/>
    <s v="OK"/>
    <n v="7"/>
    <s v="Unique"/>
    <n v="0"/>
    <s v="Valid"/>
    <n v="13017.72"/>
    <x v="266"/>
    <n v="0.21871341525244051"/>
    <x v="4"/>
    <x v="1"/>
    <s v="Clean"/>
  </r>
  <r>
    <s v="ORD-2025-10268"/>
    <d v="2025-05-28T00:00:00"/>
    <d v="2025-06-04T00:00:00"/>
    <s v="CUST-4431"/>
    <s v="Diya Patel"/>
    <x v="2"/>
    <x v="1"/>
    <s v="Jharkhand"/>
    <s v="Ranchi"/>
    <x v="1"/>
    <x v="3"/>
    <s v="Basic Furnishings 372"/>
    <x v="2"/>
    <n v="4"/>
    <n v="261.8"/>
    <n v="0.25"/>
    <n v="785.4"/>
    <n v="557.22"/>
    <n v="228.18"/>
    <s v="Paid"/>
    <x v="0"/>
    <s v="OK"/>
    <s v="OK"/>
    <s v="OK"/>
    <s v="OK"/>
    <n v="7"/>
    <s v="Unique"/>
    <n v="0.25"/>
    <s v="Valid"/>
    <n v="785.40000000000009"/>
    <x v="267"/>
    <n v="0.29052711993888469"/>
    <x v="4"/>
    <x v="1"/>
    <s v="Clean"/>
  </r>
  <r>
    <s v="ORD-2025-10269"/>
    <d v="2025-08-17T00:00:00"/>
    <d v="2025-08-17T00:00:00"/>
    <s v="CUST-1488"/>
    <s v="Aarav Sharma"/>
    <x v="3"/>
    <x v="0"/>
    <s v="Punjab"/>
    <s v="Ludhiana"/>
    <x v="2"/>
    <x v="5"/>
    <s v="Prime Accessories 367"/>
    <x v="2"/>
    <n v="7"/>
    <n v="632.20000000000005"/>
    <n v="0.25"/>
    <n v="3319.05"/>
    <n v="2124.6"/>
    <n v="1194.45"/>
    <s v="Paid"/>
    <x v="0"/>
    <s v="OK"/>
    <s v="OK"/>
    <s v="OK"/>
    <s v="OK"/>
    <n v="0"/>
    <s v="Unique"/>
    <n v="0.25"/>
    <s v="Valid"/>
    <n v="3319.05"/>
    <x v="268"/>
    <n v="0.35987707325891449"/>
    <x v="1"/>
    <x v="1"/>
    <s v="Clean"/>
  </r>
  <r>
    <s v="ORD-2025-10270"/>
    <d v="2025-02-10T00:00:00"/>
    <d v="2025-02-12T00:00:00"/>
    <s v="CUST-1586"/>
    <s v="Rahul Verma"/>
    <x v="1"/>
    <x v="3"/>
    <s v="Rajasthan"/>
    <s v="Udaipur"/>
    <x v="1"/>
    <x v="1"/>
    <s v="Max Tables 526"/>
    <x v="1"/>
    <n v="1"/>
    <n v="1925.86"/>
    <n v="0"/>
    <n v="1925.86"/>
    <n v="1321.89"/>
    <n v="603.97"/>
    <s v="Paid"/>
    <x v="0"/>
    <s v="OK"/>
    <s v="OK"/>
    <s v="OK"/>
    <s v="OK"/>
    <n v="2"/>
    <s v="Unique"/>
    <n v="0"/>
    <s v="Valid"/>
    <n v="1925.86"/>
    <x v="269"/>
    <n v="0.31361054282242729"/>
    <x v="6"/>
    <x v="1"/>
    <s v="Clean"/>
  </r>
  <r>
    <s v="ORD-2024-10271"/>
    <d v="2024-01-12T00:00:00"/>
    <d v="2024-01-13T00:00:00"/>
    <s v="CUST-2487"/>
    <s v="Aditi Sen"/>
    <x v="2"/>
    <x v="0"/>
    <s v="Uttar Pradesh"/>
    <s v="Noida"/>
    <x v="2"/>
    <x v="12"/>
    <s v="Prime Machines 794"/>
    <x v="1"/>
    <n v="3"/>
    <n v="827.44"/>
    <n v="0"/>
    <n v="2482.3200000000002"/>
    <n v="1520.21"/>
    <n v="962.11"/>
    <s v="Paid"/>
    <x v="0"/>
    <s v="OK"/>
    <s v="OK"/>
    <s v="OK"/>
    <s v="OK"/>
    <n v="1"/>
    <s v="Unique"/>
    <n v="0"/>
    <s v="Valid"/>
    <n v="2482.3200000000002"/>
    <x v="270"/>
    <n v="0.38758500112797706"/>
    <x v="10"/>
    <x v="0"/>
    <s v="Clean"/>
  </r>
  <r>
    <s v="ORD-2024-10272"/>
    <d v="2024-12-21T00:00:00"/>
    <d v="2024-12-25T00:00:00"/>
    <s v="CUST-8009"/>
    <s v="Aditi Sen"/>
    <x v="0"/>
    <x v="2"/>
    <s v="Telangana"/>
    <s v="Hyderabad"/>
    <x v="0"/>
    <x v="9"/>
    <s v="Max Binders 927"/>
    <x v="3"/>
    <n v="7"/>
    <n v="1667.75"/>
    <n v="0"/>
    <n v="11674.25"/>
    <n v="9621.19"/>
    <n v="2053.06"/>
    <s v="Failed"/>
    <x v="1"/>
    <s v="OK"/>
    <s v="OK"/>
    <s v="OK"/>
    <s v="OK"/>
    <n v="4"/>
    <s v="Unique"/>
    <n v="0"/>
    <s v="Valid"/>
    <n v="11674.25"/>
    <x v="271"/>
    <n v="0.17586226095894808"/>
    <x v="8"/>
    <x v="0"/>
    <s v="Clean"/>
  </r>
  <r>
    <s v="ORD-2024-10273"/>
    <d v="2024-08-18T00:00:00"/>
    <d v="2024-08-24T00:00:00"/>
    <s v="CUST-7389"/>
    <s v="Arjun Bose"/>
    <x v="0"/>
    <x v="2"/>
    <s v="Andhra Pradesh"/>
    <s v="Vijayawada"/>
    <x v="1"/>
    <x v="4"/>
    <s v="Eco Chairs 314"/>
    <x v="2"/>
    <n v="7"/>
    <n v="557.21"/>
    <n v="0.1"/>
    <n v="3510.42"/>
    <n v="2191.5"/>
    <n v="1213.48"/>
    <s v="Paid"/>
    <x v="0"/>
    <s v="OK"/>
    <s v="OK"/>
    <s v="OK"/>
    <s v="OK"/>
    <n v="6"/>
    <s v="Conflicting Duplicate - Manual Review Required"/>
    <n v="0.1"/>
    <s v="Valid"/>
    <n v="3510.4230000000002"/>
    <x v="272"/>
    <n v="0.37571625983535323"/>
    <x v="1"/>
    <x v="0"/>
    <s v="Invalid"/>
  </r>
  <r>
    <s v="ORD-2025-10274"/>
    <d v="2025-02-13T00:00:00"/>
    <d v="2025-02-13T00:00:00"/>
    <s v="CUST-8249"/>
    <s v="Isha Nair"/>
    <x v="0"/>
    <x v="1"/>
    <s v="Bihar"/>
    <s v="Patna"/>
    <x v="0"/>
    <x v="0"/>
    <s v="Basic Paper 657"/>
    <x v="0"/>
    <n v="9"/>
    <n v="2521.63"/>
    <n v="0"/>
    <n v="22694.67"/>
    <n v="15405.36"/>
    <n v="7289.31"/>
    <s v="Paid"/>
    <x v="2"/>
    <s v="OK"/>
    <s v="OK"/>
    <s v="OK"/>
    <s v="OK"/>
    <n v="0"/>
    <s v="Unique"/>
    <n v="0"/>
    <s v="Valid"/>
    <n v="22694.670000000002"/>
    <x v="273"/>
    <n v="0.32119039404406413"/>
    <x v="6"/>
    <x v="1"/>
    <s v="Clean"/>
  </r>
  <r>
    <s v="ORD-2024-10275"/>
    <d v="2024-04-07T00:00:00"/>
    <d v="2024-04-14T00:00:00"/>
    <s v="CUST-4202"/>
    <s v="Rohan Mehta"/>
    <x v="0"/>
    <x v="2"/>
    <s v="Kerala"/>
    <s v="Kochi"/>
    <x v="2"/>
    <x v="6"/>
    <s v="Pro Copiers 406"/>
    <x v="3"/>
    <n v="6"/>
    <n v="4246.71"/>
    <n v="0.15"/>
    <n v="21658.22"/>
    <n v="15490.69"/>
    <n v="6167.53"/>
    <s v="Failed"/>
    <x v="2"/>
    <s v="OK"/>
    <s v="OK"/>
    <s v="OK"/>
    <s v="OK"/>
    <n v="7"/>
    <s v="Unique"/>
    <n v="0.15"/>
    <s v="Valid"/>
    <n v="21658.221000000001"/>
    <x v="274"/>
    <n v="0.28476627881856043"/>
    <x v="5"/>
    <x v="0"/>
    <s v="Clean"/>
  </r>
  <r>
    <s v="ORD-2024-10276"/>
    <d v="2024-02-15T00:00:00"/>
    <d v="2024-02-22T00:00:00"/>
    <s v="CUST-2875"/>
    <s v="Priya Menon"/>
    <x v="1"/>
    <x v="1"/>
    <s v="West Bengal"/>
    <s v="Kolkata"/>
    <x v="1"/>
    <x v="3"/>
    <s v="Eco Furnishings 678"/>
    <x v="1"/>
    <n v="1"/>
    <n v="980.51"/>
    <n v="0"/>
    <n v="980.51"/>
    <n v="660.92"/>
    <n v="319.58999999999997"/>
    <s v="Paid"/>
    <x v="0"/>
    <s v="OK"/>
    <s v="OK"/>
    <s v="OK"/>
    <s v="OK"/>
    <n v="7"/>
    <s v="Unique"/>
    <n v="0"/>
    <s v="Valid"/>
    <n v="980.51"/>
    <x v="275"/>
    <n v="0.32594262169687205"/>
    <x v="6"/>
    <x v="0"/>
    <s v="Clean"/>
  </r>
  <r>
    <s v="ORD-2024-10277"/>
    <d v="2024-01-22T00:00:00"/>
    <d v="2024-01-23T00:00:00"/>
    <s v="CUST-7039"/>
    <s v="Aarav Sharma"/>
    <x v="1"/>
    <x v="4"/>
    <s v="Assam"/>
    <s v="Guwahati"/>
    <x v="1"/>
    <x v="4"/>
    <s v="Basic Chairs 141"/>
    <x v="0"/>
    <n v="6"/>
    <n v="3391.53"/>
    <n v="-0.14000000000000001"/>
    <n v="15261.89"/>
    <n v="8413.5300000000007"/>
    <n v="6848.36"/>
    <s v="Paid"/>
    <x v="0"/>
    <s v="OK"/>
    <s v="OK"/>
    <s v="OK"/>
    <s v="OK"/>
    <n v="1"/>
    <s v="Unique"/>
    <n v="-0.14000000000000001"/>
    <s v="Invalid: Negative Discount"/>
    <n v="23198.065200000005"/>
    <x v="276"/>
    <n v="0.63731759836591895"/>
    <x v="10"/>
    <x v="0"/>
    <s v="Invalid"/>
  </r>
  <r>
    <s v="ORD-2025-10278"/>
    <d v="2025-06-04T00:00:00"/>
    <d v="2025-06-04T00:00:00"/>
    <s v="CUST-2819"/>
    <s v="Isha Nair"/>
    <x v="2"/>
    <x v="0"/>
    <s v="Haryana"/>
    <s v="Gurugram"/>
    <x v="2"/>
    <x v="5"/>
    <s v="Elite Accessories 291"/>
    <x v="0"/>
    <n v="1"/>
    <n v="2133.73"/>
    <n v="0.15"/>
    <n v="2008.39"/>
    <n v="1002.57"/>
    <n v="811.1"/>
    <s v="Pending"/>
    <x v="1"/>
    <s v="OK"/>
    <s v="OK"/>
    <s v="OK"/>
    <s v="OK"/>
    <n v="0"/>
    <s v="Unique"/>
    <n v="0.15"/>
    <s v="Valid"/>
    <n v="1813.6704999999999"/>
    <x v="277"/>
    <n v="0.4472149158295291"/>
    <x v="2"/>
    <x v="1"/>
    <s v="Clean"/>
  </r>
  <r>
    <s v="ORD-2025-10279"/>
    <d v="2025-03-07T00:00:00"/>
    <d v="2025-03-14T00:00:00"/>
    <s v="CUST-8242"/>
    <s v="Priya Menon"/>
    <x v="1"/>
    <x v="0"/>
    <s v="Delhi"/>
    <s v="New Delhi"/>
    <x v="2"/>
    <x v="5"/>
    <s v="Pro Accessories 207"/>
    <x v="1"/>
    <n v="1"/>
    <n v="3979.64"/>
    <n v="0.05"/>
    <n v="3780.66"/>
    <n v="2148.31"/>
    <n v="1632.35"/>
    <s v="Paid"/>
    <x v="2"/>
    <s v="OK"/>
    <s v="OK"/>
    <s v="OK"/>
    <s v="OK"/>
    <n v="7"/>
    <s v="Unique"/>
    <n v="0.05"/>
    <s v="Valid"/>
    <n v="3780.6579999999999"/>
    <x v="278"/>
    <n v="0.43176293650470365"/>
    <x v="11"/>
    <x v="1"/>
    <s v="Clean"/>
  </r>
  <r>
    <s v="ORD-2024-10280"/>
    <d v="2024-04-09T00:00:00"/>
    <d v="2024-04-10T00:00:00"/>
    <s v="CUST-4571"/>
    <s v="Rohan Mehta"/>
    <x v="1"/>
    <x v="3"/>
    <s v="Maharashtra"/>
    <s v="Mumbai"/>
    <x v="0"/>
    <x v="8"/>
    <s v="Max Storage 564"/>
    <x v="2"/>
    <n v="1"/>
    <n v="4359.12"/>
    <n v="0.05"/>
    <n v="4141.16"/>
    <n v="2754.17"/>
    <n v="1386.99"/>
    <s v="Paid"/>
    <x v="0"/>
    <s v="OK"/>
    <s v="OK"/>
    <s v="OK"/>
    <s v="OK"/>
    <n v="1"/>
    <s v="Unique"/>
    <n v="0.05"/>
    <s v="Valid"/>
    <n v="4141.1639999999998"/>
    <x v="279"/>
    <n v="0.33492853700070796"/>
    <x v="5"/>
    <x v="0"/>
    <s v="Clean"/>
  </r>
  <r>
    <s v="ORD-2024-10281"/>
    <d v="2024-12-23T00:00:00"/>
    <d v="2024-12-26T00:00:00"/>
    <s v="CUST-4098"/>
    <s v="Aditi Sen"/>
    <x v="0"/>
    <x v="2"/>
    <s v="Karnataka"/>
    <s v="Bengaluru"/>
    <x v="2"/>
    <x v="6"/>
    <s v="Prime Copiers 961"/>
    <x v="3"/>
    <n v="9"/>
    <n v="993.67"/>
    <n v="0"/>
    <n v="8943.0300000000007"/>
    <n v="5165.38"/>
    <n v="3777.65"/>
    <s v="Paid"/>
    <x v="0"/>
    <s v="OK"/>
    <s v="OK"/>
    <s v="OK"/>
    <s v="OK"/>
    <n v="3"/>
    <s v="Unique"/>
    <n v="0"/>
    <s v="Valid"/>
    <n v="8943.0299999999988"/>
    <x v="280"/>
    <n v="0.42241276167026154"/>
    <x v="8"/>
    <x v="0"/>
    <s v="Clean"/>
  </r>
  <r>
    <s v="ORD-2025-10282"/>
    <d v="2025-07-25T00:00:00"/>
    <d v="2025-07-27T00:00:00"/>
    <s v="CUST-2052"/>
    <s v="Kabir Singh"/>
    <x v="0"/>
    <x v="1"/>
    <s v="Jharkhand"/>
    <s v="Ranchi"/>
    <x v="0"/>
    <x v="9"/>
    <s v="Basic Binders 637"/>
    <x v="0"/>
    <n v="6"/>
    <n v="3438.38"/>
    <n v="0.2"/>
    <n v="16504.22"/>
    <n v="11262.71"/>
    <n v="5241.51"/>
    <s v="Paid"/>
    <x v="0"/>
    <s v="OK"/>
    <s v="OK"/>
    <s v="OK"/>
    <s v="OK"/>
    <n v="2"/>
    <s v="Unique"/>
    <n v="0.2"/>
    <s v="Valid"/>
    <n v="16504.223999999998"/>
    <x v="281"/>
    <n v="0.31758621308096641"/>
    <x v="0"/>
    <x v="1"/>
    <s v="Clean"/>
  </r>
  <r>
    <s v="ORD-2024-10283"/>
    <d v="2024-10-01T00:00:00"/>
    <d v="2024-10-02T00:00:00"/>
    <s v="CUST-9445"/>
    <s v="Karan Malhotra"/>
    <x v="3"/>
    <x v="1"/>
    <s v="Assam"/>
    <s v="Guwahati"/>
    <x v="1"/>
    <x v="1"/>
    <s v="Classic Tables 811"/>
    <x v="0"/>
    <n v="2"/>
    <n v="2298"/>
    <n v="0"/>
    <n v="4596"/>
    <n v="3220.33"/>
    <n v="1375.67"/>
    <s v="Paid"/>
    <x v="0"/>
    <s v="OK"/>
    <s v="OK"/>
    <s v="OK"/>
    <s v="OK"/>
    <n v="1"/>
    <s v="Unique"/>
    <n v="0"/>
    <s v="Valid"/>
    <n v="4596"/>
    <x v="282"/>
    <n v="0.29931897302001742"/>
    <x v="9"/>
    <x v="0"/>
    <s v="Clean"/>
  </r>
  <r>
    <s v="ORD-2025-10284"/>
    <d v="2025-03-13T00:00:00"/>
    <d v="2025-03-20T00:00:00"/>
    <s v="CUST-6568"/>
    <s v="Vikram Iyer"/>
    <x v="0"/>
    <x v="3"/>
    <s v="Maharashtra"/>
    <s v="Mumbai"/>
    <x v="1"/>
    <x v="3"/>
    <s v="Classic Furnishings 819"/>
    <x v="2"/>
    <n v="1"/>
    <n v="1814.01"/>
    <n v="0"/>
    <n v="1814.01"/>
    <n v="1033.47"/>
    <n v="780.54"/>
    <s v="Paid"/>
    <x v="0"/>
    <s v="OK"/>
    <s v="OK"/>
    <s v="OK"/>
    <s v="OK"/>
    <n v="7"/>
    <s v="Unique"/>
    <n v="0"/>
    <s v="Valid"/>
    <n v="1814.01"/>
    <x v="283"/>
    <n v="0.43028428729720342"/>
    <x v="11"/>
    <x v="1"/>
    <s v="Clean"/>
  </r>
  <r>
    <s v="ORD-2024-10285"/>
    <d v="2024-12-08T00:00:00"/>
    <d v="2024-12-14T00:00:00"/>
    <s v="CUST-2076"/>
    <s v="Karan Malhotra"/>
    <x v="0"/>
    <x v="1"/>
    <s v="Odisha"/>
    <s v="Bhubaneswar"/>
    <x v="1"/>
    <x v="1"/>
    <s v="Prime Tables 542"/>
    <x v="1"/>
    <n v="3"/>
    <n v="1576.92"/>
    <n v="0"/>
    <n v="4730.76"/>
    <n v="3139.73"/>
    <n v="1591.03"/>
    <s v="Paid"/>
    <x v="2"/>
    <s v="OK"/>
    <s v="OK"/>
    <s v="OK"/>
    <s v="OK"/>
    <n v="6"/>
    <s v="Unique"/>
    <n v="0"/>
    <s v="Valid"/>
    <n v="4730.76"/>
    <x v="284"/>
    <n v="0.33631594077907145"/>
    <x v="8"/>
    <x v="0"/>
    <s v="Clean"/>
  </r>
  <r>
    <s v="ORD-2025-10286"/>
    <d v="2025-08-15T00:00:00"/>
    <d v="2025-08-20T00:00:00"/>
    <s v="CUST-5610"/>
    <s v="Neha Gupta"/>
    <x v="3"/>
    <x v="0"/>
    <s v="Rajasthan"/>
    <s v="Jaipur"/>
    <x v="0"/>
    <x v="8"/>
    <s v="Basic Storage 771"/>
    <x v="3"/>
    <n v="9"/>
    <n v="4081.77"/>
    <n v="0"/>
    <n v="36735.93"/>
    <n v="30820.84"/>
    <n v="5915.09"/>
    <s v="Paid"/>
    <x v="0"/>
    <s v="OK"/>
    <s v="OK"/>
    <s v="OK"/>
    <s v="OK"/>
    <n v="5"/>
    <s v="Unique"/>
    <n v="0"/>
    <s v="Valid"/>
    <n v="36735.93"/>
    <x v="285"/>
    <n v="0.16101647624001897"/>
    <x v="1"/>
    <x v="1"/>
    <s v="Clean"/>
  </r>
  <r>
    <s v="ORD-2024-10287"/>
    <d v="2024-02-28T00:00:00"/>
    <d v="2024-03-02T00:00:00"/>
    <s v="CUST-5823"/>
    <s v="Priya Menon"/>
    <x v="1"/>
    <x v="0"/>
    <s v="Delhi"/>
    <s v="New Delhi"/>
    <x v="1"/>
    <x v="3"/>
    <s v="Pro Furnishings 848"/>
    <x v="2"/>
    <n v="7"/>
    <n v="701.8"/>
    <n v="0.1"/>
    <n v="4421.34"/>
    <n v="2489.98"/>
    <n v="1931.36"/>
    <s v="Pending"/>
    <x v="2"/>
    <s v="OK"/>
    <s v="OK"/>
    <s v="OK"/>
    <s v="OK"/>
    <n v="3"/>
    <s v="Unique"/>
    <n v="0.1"/>
    <s v="Valid"/>
    <n v="4421.3399999999992"/>
    <x v="286"/>
    <n v="0.43682684435035524"/>
    <x v="6"/>
    <x v="0"/>
    <s v="Clean"/>
  </r>
  <r>
    <s v="ORD-2024-10288"/>
    <d v="2024-09-05T00:00:00"/>
    <d v="2024-09-07T00:00:00"/>
    <s v="CUST-7095"/>
    <s v="Neha Gupta"/>
    <x v="1"/>
    <x v="2"/>
    <s v="Tamil Nadu"/>
    <s v="Chennai"/>
    <x v="2"/>
    <x v="6"/>
    <s v="Prime Copiers 924"/>
    <x v="3"/>
    <n v="3"/>
    <n v="2555.66"/>
    <n v="0.15"/>
    <n v="6516.93"/>
    <n v="4511.54"/>
    <n v="2005.39"/>
    <s v="Paid"/>
    <x v="1"/>
    <s v="OK"/>
    <s v="OK"/>
    <s v="OK"/>
    <s v="OK"/>
    <n v="2"/>
    <s v="Unique"/>
    <n v="0.15"/>
    <s v="Valid"/>
    <n v="6516.9329999999991"/>
    <x v="287"/>
    <n v="0.30772036477895343"/>
    <x v="7"/>
    <x v="0"/>
    <s v="Clean"/>
  </r>
  <r>
    <s v="ORD-2024-10289"/>
    <d v="2024-06-24T00:00:00"/>
    <d v="2024-06-24T00:00:00"/>
    <s v="CUST-4805"/>
    <s v="Rohan Mehta"/>
    <x v="1"/>
    <x v="1"/>
    <s v="Bihar"/>
    <s v="Patna"/>
    <x v="0"/>
    <x v="9"/>
    <s v="Classic Binders 721"/>
    <x v="1"/>
    <n v="2"/>
    <n v="4359.8999999999996"/>
    <n v="0.15"/>
    <n v="7411.83"/>
    <n v="4904.63"/>
    <n v="2507.1999999999998"/>
    <s v="Paid"/>
    <x v="0"/>
    <s v="OK"/>
    <s v="OK"/>
    <s v="OK"/>
    <s v="OK"/>
    <n v="0"/>
    <s v="Unique"/>
    <n v="0.15"/>
    <s v="Valid"/>
    <n v="7411.829999999999"/>
    <x v="288"/>
    <n v="0.3382700358750807"/>
    <x v="2"/>
    <x v="0"/>
    <s v="Clean"/>
  </r>
  <r>
    <s v="ORD-2025-10290"/>
    <d v="2025-06-19T00:00:00"/>
    <d v="2025-06-27T00:00:00"/>
    <s v="CUST-9114"/>
    <s v="Karan Malhotra"/>
    <x v="3"/>
    <x v="2"/>
    <s v="Tamil Nadu"/>
    <s v="Chennai"/>
    <x v="1"/>
    <x v="10"/>
    <s v="Basic Bookcases 823"/>
    <x v="2"/>
    <n v="2"/>
    <n v="4346.6899999999996"/>
    <n v="0.05"/>
    <n v="8258.7099999999991"/>
    <n v="7018.97"/>
    <n v="1239.74"/>
    <s v="Paid"/>
    <x v="0"/>
    <s v="OK"/>
    <s v="OK"/>
    <s v="OK"/>
    <s v="OK"/>
    <n v="8"/>
    <s v="Unique"/>
    <n v="0.05"/>
    <s v="Valid"/>
    <n v="8258.7109999999993"/>
    <x v="289"/>
    <n v="0.15011313508851432"/>
    <x v="2"/>
    <x v="1"/>
    <s v="Clean"/>
  </r>
  <r>
    <s v="ORD-2025-10291"/>
    <d v="2025-08-22T00:00:00"/>
    <d v="2025-08-26T00:00:00"/>
    <s v="CUST-8557"/>
    <s v="Diya Patel"/>
    <x v="3"/>
    <x v="1"/>
    <s v="Jharkhand"/>
    <s v="Ranchi"/>
    <x v="1"/>
    <x v="1"/>
    <s v="Classic Tables 178"/>
    <x v="3"/>
    <n v="1"/>
    <n v="1842.63"/>
    <n v="0.1"/>
    <n v="1658.37"/>
    <n v="971.12"/>
    <n v="687.25"/>
    <s v="Paid"/>
    <x v="0"/>
    <s v="OK"/>
    <s v="OK"/>
    <s v="OK"/>
    <s v="OK"/>
    <n v="4"/>
    <s v="Unique"/>
    <n v="0.1"/>
    <s v="Valid"/>
    <n v="1658.3670000000002"/>
    <x v="290"/>
    <n v="0.41441188832146331"/>
    <x v="1"/>
    <x v="1"/>
    <s v="Clean"/>
  </r>
  <r>
    <s v="ORD-2024-10292"/>
    <d v="2024-04-05T00:00:00"/>
    <d v="2024-04-10T00:00:00"/>
    <s v="CUST-2860"/>
    <s v="Priya Menon"/>
    <x v="3"/>
    <x v="0"/>
    <s v="Rajasthan"/>
    <s v="Jaipur"/>
    <x v="0"/>
    <x v="9"/>
    <s v="Eco Binders 153"/>
    <x v="3"/>
    <n v="4"/>
    <n v="3228.66"/>
    <n v="0.25"/>
    <n v="9685.98"/>
    <n v="7730.04"/>
    <n v="1955.94"/>
    <s v="Paid"/>
    <x v="0"/>
    <s v="OK"/>
    <s v="OK"/>
    <s v="OK"/>
    <s v="OK"/>
    <n v="5"/>
    <s v="Unique"/>
    <n v="0.25"/>
    <s v="Valid"/>
    <n v="9685.98"/>
    <x v="291"/>
    <n v="0.20193516815025425"/>
    <x v="5"/>
    <x v="0"/>
    <s v="Clean"/>
  </r>
  <r>
    <s v="ORD-2025-10293"/>
    <d v="2025-02-28T00:00:00"/>
    <d v="2025-03-03T00:00:00"/>
    <s v="CUST-7837"/>
    <s v="Kabir Singh"/>
    <x v="3"/>
    <x v="0"/>
    <s v="Haryana"/>
    <s v="Gurugram"/>
    <x v="0"/>
    <x v="2"/>
    <s v="Classic Art 183"/>
    <x v="1"/>
    <n v="9"/>
    <n v="3748.95"/>
    <n v="0"/>
    <n v="33740.550000000003"/>
    <n v="24621.89"/>
    <n v="9118.66"/>
    <s v="Pending"/>
    <x v="1"/>
    <s v="OK"/>
    <s v="OK"/>
    <s v="OK"/>
    <s v="OK"/>
    <n v="3"/>
    <s v="Unique"/>
    <n v="0"/>
    <s v="Valid"/>
    <n v="33740.549999999996"/>
    <x v="292"/>
    <n v="0.2702581908119458"/>
    <x v="6"/>
    <x v="1"/>
    <s v="Clean"/>
  </r>
  <r>
    <s v="ORD-2024-10294"/>
    <d v="2024-03-07T00:00:00"/>
    <d v="2024-03-11T00:00:00"/>
    <s v="CUST-7010"/>
    <s v="Arjun Bose"/>
    <x v="3"/>
    <x v="2"/>
    <s v="Telangana"/>
    <s v="Hyderabad"/>
    <x v="2"/>
    <x v="11"/>
    <s v="Pro Phones 455"/>
    <x v="2"/>
    <n v="2"/>
    <n v="4401.51"/>
    <n v="0.65"/>
    <n v="8362.8700000000008"/>
    <n v="6541.04"/>
    <n v="1821.83"/>
    <s v="Paid"/>
    <x v="0"/>
    <s v="OK"/>
    <s v="OK"/>
    <s v="OK"/>
    <s v="OK"/>
    <n v="4"/>
    <s v="Unique"/>
    <n v="0.65"/>
    <s v="Invalid: Above Allowed Range"/>
    <n v="3081.0569999999998"/>
    <x v="293"/>
    <n v="-1.1229857156164267"/>
    <x v="11"/>
    <x v="0"/>
    <s v="Invalid"/>
  </r>
  <r>
    <s v="ORD-2025-10295"/>
    <d v="2025-07-16T00:00:00"/>
    <d v="2025-07-22T00:00:00"/>
    <s v="CUST-4755"/>
    <s v="Priya Menon"/>
    <x v="0"/>
    <x v="1"/>
    <s v="Odisha"/>
    <s v="Bhubaneswar"/>
    <x v="2"/>
    <x v="11"/>
    <s v="Basic Phones 326"/>
    <x v="0"/>
    <n v="6"/>
    <n v="4159.33"/>
    <n v="0.25"/>
    <n v="18716.990000000002"/>
    <n v="12282.43"/>
    <n v="6434.56"/>
    <s v="Paid"/>
    <x v="2"/>
    <s v="OK"/>
    <s v="OK"/>
    <s v="OK"/>
    <s v="OK"/>
    <n v="6"/>
    <s v="Unique"/>
    <n v="0.25"/>
    <s v="Valid"/>
    <n v="18716.985000000001"/>
    <x v="294"/>
    <n v="0.34378159730319813"/>
    <x v="0"/>
    <x v="1"/>
    <s v="Clean"/>
  </r>
  <r>
    <s v="ORD-2025-10296"/>
    <d v="2025-06-25T00:00:00"/>
    <d v="2025-06-28T00:00:00"/>
    <s v="CUST-6778"/>
    <s v="Aditi Sen"/>
    <x v="1"/>
    <x v="1"/>
    <s v="Assam"/>
    <s v="Guwahati"/>
    <x v="0"/>
    <x v="9"/>
    <s v="Max Binders 587"/>
    <x v="3"/>
    <n v="3"/>
    <n v="3476.05"/>
    <n v="0.1"/>
    <n v="9385.34"/>
    <n v="5828.54"/>
    <n v="3556.8"/>
    <s v="Paid"/>
    <x v="0"/>
    <s v="OK"/>
    <s v="OK"/>
    <s v="OK"/>
    <s v="OK"/>
    <n v="3"/>
    <s v="Unique"/>
    <n v="0.1"/>
    <s v="Valid"/>
    <n v="9385.3350000000009"/>
    <x v="295"/>
    <n v="0.37897368607513748"/>
    <x v="2"/>
    <x v="1"/>
    <s v="Clean"/>
  </r>
  <r>
    <s v="ORD-2025-10297"/>
    <d v="2025-05-24T00:00:00"/>
    <d v="2025-05-26T00:00:00"/>
    <s v="CUST-7629"/>
    <s v="Aditi Sen"/>
    <x v="3"/>
    <x v="0"/>
    <s v="Haryana"/>
    <s v="Gurugram"/>
    <x v="1"/>
    <x v="3"/>
    <s v="Basic Furnishings 617"/>
    <x v="1"/>
    <n v="6"/>
    <n v="3495.41"/>
    <n v="0.15"/>
    <n v="17826.59"/>
    <n v="10855.35"/>
    <n v="6971.24"/>
    <s v="Paid"/>
    <x v="0"/>
    <s v="OK"/>
    <s v="OK"/>
    <s v="OK"/>
    <s v="OK"/>
    <n v="2"/>
    <s v="Unique"/>
    <n v="0.15"/>
    <s v="Valid"/>
    <n v="17826.591"/>
    <x v="296"/>
    <n v="0.39105855965394615"/>
    <x v="4"/>
    <x v="1"/>
    <s v="Clean"/>
  </r>
  <r>
    <s v="ORD-2024-10298"/>
    <d v="2024-10-29T00:00:00"/>
    <d v="2024-11-06T00:00:00"/>
    <s v="CUST-6724"/>
    <s v="Sneha Kapoor"/>
    <x v="2"/>
    <x v="2"/>
    <s v="Tamil Nadu"/>
    <s v="Chennai"/>
    <x v="2"/>
    <x v="6"/>
    <s v="Prime Copiers 669"/>
    <x v="1"/>
    <n v="6"/>
    <n v="1169.92"/>
    <n v="0.15"/>
    <n v="5966.59"/>
    <n v="3994.72"/>
    <n v="1971.87"/>
    <s v="Paid"/>
    <x v="0"/>
    <s v="OK"/>
    <s v="OK"/>
    <s v="OK"/>
    <s v="OK"/>
    <n v="8"/>
    <s v="Unique"/>
    <n v="0.15"/>
    <s v="Valid"/>
    <n v="5966.5920000000006"/>
    <x v="297"/>
    <n v="0.33048547646629778"/>
    <x v="9"/>
    <x v="0"/>
    <s v="Clean"/>
  </r>
  <r>
    <s v="ORD-2025-10299"/>
    <d v="2025-01-23T00:00:00"/>
    <d v="2025-01-26T00:00:00"/>
    <s v="CUST-2141"/>
    <s v="Isha Nair"/>
    <x v="0"/>
    <x v="2"/>
    <s v="Kerala"/>
    <s v="Kochi"/>
    <x v="2"/>
    <x v="6"/>
    <s v="Eco Copiers 894"/>
    <x v="2"/>
    <n v="7"/>
    <n v="348.49"/>
    <n v="0.2"/>
    <n v="1951.54"/>
    <n v="1609.95"/>
    <n v="341.59"/>
    <s v="Failed"/>
    <x v="2"/>
    <s v="OK"/>
    <s v="OK"/>
    <s v="OK"/>
    <s v="OK"/>
    <n v="3"/>
    <s v="Unique"/>
    <n v="0.2"/>
    <s v="Valid"/>
    <n v="1951.5440000000003"/>
    <x v="298"/>
    <n v="0.17503781621116421"/>
    <x v="10"/>
    <x v="1"/>
    <s v="Clean"/>
  </r>
  <r>
    <s v="ORD-2024-10300"/>
    <d v="2024-11-06T00:00:00"/>
    <d v="2024-11-12T00:00:00"/>
    <s v="CUST-7264"/>
    <s v="Rahul Verma"/>
    <x v="1"/>
    <x v="3"/>
    <s v="Gujarat"/>
    <s v="Ahmedabad"/>
    <x v="2"/>
    <x v="5"/>
    <s v="Max Accessories 145"/>
    <x v="3"/>
    <n v="7"/>
    <n v="1719.05"/>
    <n v="0.1"/>
    <n v="10830.02"/>
    <n v="7055.31"/>
    <n v="3774.71"/>
    <s v="Paid"/>
    <x v="0"/>
    <s v="OK"/>
    <s v="OK"/>
    <s v="OK"/>
    <s v="OK"/>
    <n v="6"/>
    <s v="Unique"/>
    <n v="0.1"/>
    <s v="Valid"/>
    <n v="10830.015000000001"/>
    <x v="299"/>
    <n v="0.34854106850267524"/>
    <x v="3"/>
    <x v="0"/>
    <s v="Clean"/>
  </r>
  <r>
    <s v="ORD-2024-10301"/>
    <d v="2024-04-15T00:00:00"/>
    <d v="2024-04-23T00:00:00"/>
    <s v="CUST-2668"/>
    <s v="Diya Patel"/>
    <x v="1"/>
    <x v="0"/>
    <s v="Punjab"/>
    <s v="Ludhiana"/>
    <x v="2"/>
    <x v="5"/>
    <s v="Classic Accessories 126"/>
    <x v="0"/>
    <n v="9"/>
    <n v="3893.74"/>
    <n v="0.1"/>
    <n v="31539.29"/>
    <n v="22100.14"/>
    <n v="9439.15"/>
    <s v="Paid"/>
    <x v="0"/>
    <s v="OK"/>
    <s v="OK"/>
    <s v="OK"/>
    <s v="OK"/>
    <n v="8"/>
    <s v="Unique"/>
    <n v="0.1"/>
    <s v="Valid"/>
    <n v="31539.293999999998"/>
    <x v="300"/>
    <n v="0.29928234918638313"/>
    <x v="5"/>
    <x v="0"/>
    <s v="Clean"/>
  </r>
  <r>
    <s v="ORD-2025-10302"/>
    <d v="2025-05-28T00:00:00"/>
    <d v="2025-06-01T00:00:00"/>
    <s v="CUST-5599"/>
    <s v="Isha Nair"/>
    <x v="3"/>
    <x v="1"/>
    <s v="Bihar"/>
    <s v="Patna"/>
    <x v="2"/>
    <x v="11"/>
    <s v="Elite Phones 202"/>
    <x v="1"/>
    <n v="4"/>
    <n v="1654.11"/>
    <n v="0.05"/>
    <n v="6285.62"/>
    <n v="3705.38"/>
    <n v="2580.2399999999998"/>
    <s v="Paid"/>
    <x v="0"/>
    <s v="OK"/>
    <s v="OK"/>
    <s v="OK"/>
    <s v="OK"/>
    <n v="4"/>
    <s v="Unique"/>
    <n v="0.05"/>
    <s v="Valid"/>
    <n v="6285.6179999999995"/>
    <x v="301"/>
    <n v="0.41049869718458865"/>
    <x v="4"/>
    <x v="1"/>
    <s v="Clean"/>
  </r>
  <r>
    <s v="ORD-2025-10303"/>
    <d v="2025-06-04T00:00:00"/>
    <d v="2025-06-12T00:00:00"/>
    <s v="CUST-1623"/>
    <s v="Neha Gupta"/>
    <x v="0"/>
    <x v="3"/>
    <s v="Goa"/>
    <s v="Panaji"/>
    <x v="0"/>
    <x v="8"/>
    <s v="Elite Storage 535"/>
    <x v="1"/>
    <n v="2"/>
    <n v="2703.28"/>
    <n v="0.25"/>
    <n v="4054.92"/>
    <n v="2424.83"/>
    <n v="1630.09"/>
    <s v="Paid"/>
    <x v="0"/>
    <s v="OK"/>
    <s v="OK"/>
    <s v="OK"/>
    <s v="OK"/>
    <n v="8"/>
    <s v="Unique"/>
    <n v="0.25"/>
    <s v="Valid"/>
    <n v="4054.92"/>
    <x v="302"/>
    <n v="0.40200299882611745"/>
    <x v="2"/>
    <x v="1"/>
    <s v="Clean"/>
  </r>
  <r>
    <s v="ORD-2024-10304"/>
    <d v="2024-06-23T00:00:00"/>
    <d v="2024-06-28T00:00:00"/>
    <s v="CUST-9035"/>
    <s v="Diya Patel"/>
    <x v="3"/>
    <x v="3"/>
    <s v="Gujarat"/>
    <s v="Ahmedabad"/>
    <x v="1"/>
    <x v="4"/>
    <s v="Elite Chairs 107"/>
    <x v="3"/>
    <n v="2"/>
    <n v="1313.14"/>
    <n v="0.1"/>
    <n v="2363.65"/>
    <n v="1876.1"/>
    <n v="487.55"/>
    <s v="Pending"/>
    <x v="2"/>
    <s v="OK"/>
    <s v="OK"/>
    <s v="OK"/>
    <s v="OK"/>
    <n v="5"/>
    <s v="Unique"/>
    <n v="0.1"/>
    <s v="Valid"/>
    <n v="2363.652"/>
    <x v="303"/>
    <n v="0.20627063544041174"/>
    <x v="2"/>
    <x v="0"/>
    <s v="Clean"/>
  </r>
  <r>
    <s v="ORD-2024-10305"/>
    <d v="2024-03-06T00:00:00"/>
    <d v="2024-03-13T00:00:00"/>
    <s v="CUST-6286"/>
    <s v="Karan Malhotra"/>
    <x v="0"/>
    <x v="0"/>
    <s v="Punjab"/>
    <s v="Ludhiana"/>
    <x v="1"/>
    <x v="3"/>
    <s v="Pro Furnishings 991"/>
    <x v="3"/>
    <n v="6"/>
    <n v="2403.0500000000002"/>
    <n v="0.1"/>
    <n v="12976.47"/>
    <n v="10019.98"/>
    <n v="2956.49"/>
    <s v="Paid"/>
    <x v="0"/>
    <s v="OK"/>
    <s v="OK"/>
    <s v="OK"/>
    <s v="OK"/>
    <n v="7"/>
    <s v="Unique"/>
    <n v="0.1"/>
    <s v="Valid"/>
    <n v="12976.470000000001"/>
    <x v="304"/>
    <n v="0.22783468847845378"/>
    <x v="11"/>
    <x v="0"/>
    <s v="Clean"/>
  </r>
  <r>
    <s v="ORD-2024-10306"/>
    <d v="2024-05-01T00:00:00"/>
    <d v="2024-05-02T00:00:00"/>
    <s v="CUST-7246"/>
    <s v="Ananya Rao"/>
    <x v="0"/>
    <x v="1"/>
    <s v="Assam"/>
    <s v="Guwahati"/>
    <x v="1"/>
    <x v="4"/>
    <s v="Eco Chairs 105"/>
    <x v="2"/>
    <n v="4"/>
    <n v="4156.0600000000004"/>
    <n v="0.55000000000000004"/>
    <n v="13299.39"/>
    <n v="9851.91"/>
    <n v="3447.48"/>
    <s v="Paid"/>
    <x v="1"/>
    <s v="OK"/>
    <s v="OK"/>
    <s v="OK"/>
    <s v="OK"/>
    <n v="1"/>
    <s v="Unique"/>
    <n v="0.55000000000000004"/>
    <s v="Valid"/>
    <n v="7480.9080000000004"/>
    <x v="305"/>
    <n v="-0.31694040349112695"/>
    <x v="4"/>
    <x v="0"/>
    <s v="Clean"/>
  </r>
  <r>
    <s v="ORD-2025-10307"/>
    <d v="2025-02-20T00:00:00"/>
    <d v="2025-02-23T00:00:00"/>
    <s v="CUST-2589"/>
    <s v="Aarav Sharma"/>
    <x v="0"/>
    <x v="0"/>
    <s v="Rajasthan"/>
    <s v="Jaipur"/>
    <x v="2"/>
    <x v="11"/>
    <s v="Pro Phones 530"/>
    <x v="0"/>
    <n v="4"/>
    <n v="3673.11"/>
    <n v="0"/>
    <n v="14692.44"/>
    <n v="10082.19"/>
    <n v="4610.25"/>
    <s v="Paid"/>
    <x v="0"/>
    <s v="OK"/>
    <s v="OK"/>
    <s v="OK"/>
    <s v="OK"/>
    <n v="3"/>
    <s v="Unique"/>
    <n v="0"/>
    <s v="Valid"/>
    <n v="14692.44"/>
    <x v="306"/>
    <n v="0.31378382351740075"/>
    <x v="6"/>
    <x v="1"/>
    <s v="Clean"/>
  </r>
  <r>
    <s v="ORD-2025-10308"/>
    <d v="2025-07-12T00:00:00"/>
    <d v="2025-07-19T00:00:00"/>
    <s v="CUST-4153"/>
    <s v="Ananya Rao"/>
    <x v="2"/>
    <x v="0"/>
    <s v="Uttar Pradesh"/>
    <s v="Noida"/>
    <x v="1"/>
    <x v="1"/>
    <s v="Basic Tables 911"/>
    <x v="2"/>
    <n v="9"/>
    <n v="4093.04"/>
    <n v="0.2"/>
    <n v="29469.89"/>
    <n v="18935.509999999998"/>
    <n v="10534.38"/>
    <s v="Pending"/>
    <x v="1"/>
    <s v="OK"/>
    <s v="OK"/>
    <s v="OK"/>
    <s v="OK"/>
    <n v="7"/>
    <s v="Unique"/>
    <n v="0.2"/>
    <s v="Valid"/>
    <n v="29469.888000000003"/>
    <x v="307"/>
    <n v="0.3574624375905332"/>
    <x v="0"/>
    <x v="1"/>
    <s v="Clean"/>
  </r>
  <r>
    <s v="ORD-2025-10309"/>
    <d v="2025-06-13T00:00:00"/>
    <d v="2025-06-19T00:00:00"/>
    <s v="CUST-6727"/>
    <s v="Rohan Mehta"/>
    <x v="0"/>
    <x v="0"/>
    <s v="Rajasthan"/>
    <s v="Jaipur"/>
    <x v="1"/>
    <x v="1"/>
    <s v="Classic Tables 224"/>
    <x v="2"/>
    <n v="4"/>
    <n v="731.57"/>
    <n v="0.2"/>
    <n v="2341.02"/>
    <n v="1565.49"/>
    <n v="775.53"/>
    <s v="Paid"/>
    <x v="0"/>
    <s v="OK"/>
    <s v="OK"/>
    <s v="OK"/>
    <s v="OK"/>
    <n v="6"/>
    <s v="Unique"/>
    <n v="0.2"/>
    <s v="Valid"/>
    <n v="2341.0240000000003"/>
    <x v="308"/>
    <n v="0.33127981601213835"/>
    <x v="2"/>
    <x v="1"/>
    <s v="Clean"/>
  </r>
  <r>
    <s v="ORD-2024-10310"/>
    <d v="2024-07-20T00:00:00"/>
    <d v="2024-07-22T00:00:00"/>
    <s v="CUST-8860"/>
    <s v="Ananya Rao"/>
    <x v="0"/>
    <x v="2"/>
    <s v="Tamil Nadu"/>
    <s v="Chennai"/>
    <x v="1"/>
    <x v="1"/>
    <s v="Prime Tables 214"/>
    <x v="2"/>
    <n v="7"/>
    <n v="2060.73"/>
    <n v="0.1"/>
    <n v="12982.6"/>
    <n v="7246.36"/>
    <n v="5736.24"/>
    <s v="Paid"/>
    <x v="1"/>
    <s v="OK"/>
    <s v="OK"/>
    <s v="OK"/>
    <s v="OK"/>
    <n v="2"/>
    <s v="Unique"/>
    <n v="0.1"/>
    <s v="Valid"/>
    <n v="12982.599"/>
    <x v="309"/>
    <n v="0.441840574448922"/>
    <x v="0"/>
    <x v="0"/>
    <s v="Clean"/>
  </r>
  <r>
    <s v="ORD-2024-10311"/>
    <d v="2024-07-04T00:00:00"/>
    <d v="2024-07-08T00:00:00"/>
    <s v="CUST-3784"/>
    <s v="Rohan Mehta"/>
    <x v="1"/>
    <x v="2"/>
    <s v="Tamil Nadu"/>
    <s v="Chennai"/>
    <x v="2"/>
    <x v="12"/>
    <s v="Max Machines 988"/>
    <x v="2"/>
    <n v="8"/>
    <n v="2034.25"/>
    <n v="0"/>
    <n v="16274"/>
    <n v="9424.25"/>
    <n v="6849.75"/>
    <s v="Paid"/>
    <x v="0"/>
    <s v="OK"/>
    <s v="OK"/>
    <s v="OK"/>
    <s v="OK"/>
    <n v="4"/>
    <s v="Unique"/>
    <n v="0"/>
    <s v="Valid"/>
    <n v="16274"/>
    <x v="310"/>
    <n v="0.42090143787636719"/>
    <x v="0"/>
    <x v="0"/>
    <s v="Clean"/>
  </r>
  <r>
    <s v="ORD-2024-10312"/>
    <d v="2024-04-27T00:00:00"/>
    <d v="2024-05-02T00:00:00"/>
    <s v="CUST-3545"/>
    <s v="Mira Das"/>
    <x v="2"/>
    <x v="2"/>
    <s v="Karnataka"/>
    <s v="Bengaluru"/>
    <x v="0"/>
    <x v="9"/>
    <s v="Max Binders 425"/>
    <x v="0"/>
    <n v="5"/>
    <n v="554.04"/>
    <n v="0.1"/>
    <n v="2493.1799999999998"/>
    <n v="1764"/>
    <n v="729.18"/>
    <s v="Paid"/>
    <x v="0"/>
    <s v="OK"/>
    <s v="OK"/>
    <s v="OK"/>
    <s v="OK"/>
    <n v="5"/>
    <s v="Unique"/>
    <n v="0.1"/>
    <s v="Valid"/>
    <n v="2493.1799999999998"/>
    <x v="311"/>
    <n v="0.29246985777200196"/>
    <x v="5"/>
    <x v="0"/>
    <s v="Clean"/>
  </r>
  <r>
    <s v="ORD-2024-10313"/>
    <d v="2024-07-31T00:00:00"/>
    <d v="2024-08-04T00:00:00"/>
    <s v="CUST-4851"/>
    <s v="Karan Malhotra"/>
    <x v="1"/>
    <x v="1"/>
    <s v="Assam"/>
    <s v="Guwahati"/>
    <x v="2"/>
    <x v="11"/>
    <s v="Elite Phones 679"/>
    <x v="3"/>
    <n v="8"/>
    <n v="2614.7399999999998"/>
    <m/>
    <n v="15688.44"/>
    <n v="10047.33"/>
    <n v="5641.11"/>
    <s v="Paid"/>
    <x v="1"/>
    <s v="OK"/>
    <s v="OK"/>
    <s v="OK"/>
    <s v="OK"/>
    <n v="4"/>
    <s v="Unique"/>
    <n v="0"/>
    <s v="Missing - Treated as 0"/>
    <n v="20917.919999999998"/>
    <x v="312"/>
    <n v="0.5196783427797792"/>
    <x v="0"/>
    <x v="0"/>
    <s v="Warning"/>
  </r>
  <r>
    <s v="ORD-2025-10314"/>
    <d v="2025-05-30T00:00:00"/>
    <d v="2025-05-31T00:00:00"/>
    <s v="CUST-4770"/>
    <s v="Rahul Verma"/>
    <x v="2"/>
    <x v="0"/>
    <s v="Uttar Pradesh"/>
    <s v="Noida"/>
    <x v="2"/>
    <x v="11"/>
    <s v="Pro Phones 764"/>
    <x v="2"/>
    <n v="8"/>
    <n v="2081.4299999999998"/>
    <n v="0.25"/>
    <n v="12488.58"/>
    <n v="10717.4"/>
    <n v="1771.18"/>
    <s v="Refunded"/>
    <x v="1"/>
    <s v="OK"/>
    <s v="OK"/>
    <s v="OK"/>
    <s v="OK"/>
    <n v="1"/>
    <s v="Unique"/>
    <n v="0.25"/>
    <s v="Valid"/>
    <n v="12488.579999999998"/>
    <x v="313"/>
    <n v="0.14182397037933847"/>
    <x v="4"/>
    <x v="1"/>
    <s v="Clean"/>
  </r>
  <r>
    <s v="ORD-2025-10315"/>
    <d v="2025-05-18T00:00:00"/>
    <d v="2025-05-20T00:00:00"/>
    <s v="CUST-1945"/>
    <s v="Isha Nair"/>
    <x v="2"/>
    <x v="3"/>
    <s v="Madhya Pradesh"/>
    <s v="Indore"/>
    <x v="0"/>
    <x v="7"/>
    <s v="Elite Labels 544"/>
    <x v="3"/>
    <n v="9"/>
    <n v="847.76"/>
    <n v="0.15"/>
    <n v="6485.36"/>
    <n v="5376.17"/>
    <n v="1109.19"/>
    <s v="Failed"/>
    <x v="2"/>
    <s v="OK"/>
    <s v="OK"/>
    <s v="OK"/>
    <s v="OK"/>
    <n v="2"/>
    <s v="Conflicting Duplicate - Manual Review Required"/>
    <n v="0.15"/>
    <s v="Valid"/>
    <n v="6485.3639999999996"/>
    <x v="314"/>
    <n v="0.17103033846673826"/>
    <x v="4"/>
    <x v="1"/>
    <s v="Invalid"/>
  </r>
  <r>
    <s v="ORD-2024-10316"/>
    <d v="2024-07-02T00:00:00"/>
    <d v="2024-07-08T00:00:00"/>
    <s v="CUST-7565"/>
    <s v="Rohan Mehta"/>
    <x v="0"/>
    <x v="0"/>
    <s v="Delhi"/>
    <s v="New Delhi"/>
    <x v="0"/>
    <x v="0"/>
    <s v="Smart Paper 817"/>
    <x v="3"/>
    <n v="9"/>
    <n v="3450.4"/>
    <n v="0.05"/>
    <n v="29500.92"/>
    <n v="17989.68"/>
    <n v="11511.24"/>
    <s v="Pending"/>
    <x v="2"/>
    <s v="OK"/>
    <s v="OK"/>
    <s v="OK"/>
    <s v="OK"/>
    <n v="6"/>
    <s v="Unique"/>
    <n v="0.05"/>
    <s v="Valid"/>
    <n v="29500.920000000002"/>
    <x v="315"/>
    <n v="0.39019935649464493"/>
    <x v="0"/>
    <x v="0"/>
    <s v="Clean"/>
  </r>
  <r>
    <s v="ORD-2024-10317"/>
    <d v="2024-02-16T00:00:00"/>
    <d v="2024-02-18T00:00:00"/>
    <s v="CUST-9913"/>
    <s v="Karan Malhotra"/>
    <x v="2"/>
    <x v="0"/>
    <s v="Punjab"/>
    <s v="Ludhiana"/>
    <x v="0"/>
    <x v="7"/>
    <s v="Classic Labels 466"/>
    <x v="3"/>
    <n v="2"/>
    <n v="1947.53"/>
    <n v="0.2"/>
    <n v="3116.05"/>
    <n v="1956.63"/>
    <n v="1159.42"/>
    <s v="Paid"/>
    <x v="1"/>
    <s v="OK"/>
    <s v="OK"/>
    <s v="OK"/>
    <s v="OK"/>
    <n v="2"/>
    <s v="Unique"/>
    <n v="0.2"/>
    <s v="Valid"/>
    <n v="3116.0480000000002"/>
    <x v="316"/>
    <n v="0.37207963420332424"/>
    <x v="6"/>
    <x v="0"/>
    <s v="Clean"/>
  </r>
  <r>
    <s v="ORD-2025-10318"/>
    <d v="2025-08-29T00:00:00"/>
    <d v="2025-09-04T00:00:00"/>
    <s v="CUST-7992"/>
    <s v="Neha Gupta"/>
    <x v="2"/>
    <x v="2"/>
    <s v="Kerala"/>
    <s v="Kochi"/>
    <x v="1"/>
    <x v="1"/>
    <s v="Pro Tables 778"/>
    <x v="2"/>
    <n v="9"/>
    <n v="2996.97"/>
    <n v="0.15"/>
    <n v="22926.82"/>
    <n v="14621.59"/>
    <n v="8305.23"/>
    <s v="Paid"/>
    <x v="0"/>
    <s v="OK"/>
    <s v="OK"/>
    <s v="OK"/>
    <s v="OK"/>
    <n v="6"/>
    <s v="Unique"/>
    <n v="0.15"/>
    <s v="Valid"/>
    <n v="22926.820499999998"/>
    <x v="317"/>
    <n v="0.36224955396671765"/>
    <x v="1"/>
    <x v="1"/>
    <s v="Clean"/>
  </r>
  <r>
    <s v="ORD-2024-10319"/>
    <d v="2024-04-25T00:00:00"/>
    <d v="2024-04-30T00:00:00"/>
    <s v="CUST-8877"/>
    <s v="Mira Das"/>
    <x v="1"/>
    <x v="2"/>
    <s v="Karnataka"/>
    <s v="Bengaluru"/>
    <x v="2"/>
    <x v="11"/>
    <s v="Basic Phones 789"/>
    <x v="3"/>
    <n v="3"/>
    <n v="4149.46"/>
    <n v="0.1"/>
    <n v="11203.54"/>
    <n v="8452.93"/>
    <n v="2750.61"/>
    <s v="Paid"/>
    <x v="0"/>
    <s v="OK"/>
    <s v="OK"/>
    <s v="OK"/>
    <s v="OK"/>
    <n v="5"/>
    <s v="Unique"/>
    <n v="0.1"/>
    <s v="Valid"/>
    <n v="11203.542000000001"/>
    <x v="318"/>
    <n v="0.24551271374713468"/>
    <x v="5"/>
    <x v="0"/>
    <s v="Clean"/>
  </r>
  <r>
    <s v="ORD-2024-10320"/>
    <d v="2024-08-21T00:00:00"/>
    <d v="2024-08-25T00:00:00"/>
    <s v="CUST-4589"/>
    <s v="Diya Patel"/>
    <x v="0"/>
    <x v="3"/>
    <s v="Gujarat"/>
    <s v="Ahmedabad"/>
    <x v="0"/>
    <x v="9"/>
    <s v="Prime Binders 554"/>
    <x v="2"/>
    <n v="1"/>
    <n v="270.27999999999997"/>
    <n v="0"/>
    <n v="270.27999999999997"/>
    <n v="156.34"/>
    <n v="113.94"/>
    <s v="Paid"/>
    <x v="0"/>
    <s v="OK"/>
    <s v="OK"/>
    <s v="OK"/>
    <s v="OK"/>
    <n v="4"/>
    <s v="Unique"/>
    <n v="0"/>
    <s v="Valid"/>
    <n v="270.27999999999997"/>
    <x v="319"/>
    <n v="0.42156282373834536"/>
    <x v="1"/>
    <x v="0"/>
    <s v="Clean"/>
  </r>
  <r>
    <s v="ORD-2024-10321"/>
    <d v="2024-12-04T00:00:00"/>
    <d v="2024-12-06T00:00:00"/>
    <s v="CUST-4667"/>
    <s v="Aarav Sharma"/>
    <x v="3"/>
    <x v="1"/>
    <s v="West Bengal"/>
    <s v="Kolkata"/>
    <x v="0"/>
    <x v="2"/>
    <s v="Classic Art 299"/>
    <x v="0"/>
    <n v="3"/>
    <n v="876.14"/>
    <s v="70%"/>
    <n v="2628.42"/>
    <n v="1541.54"/>
    <n v="1086.8800000000001"/>
    <s v="Pending"/>
    <x v="2"/>
    <s v="OK"/>
    <s v="OK"/>
    <s v="OK"/>
    <s v="OK"/>
    <n v="2"/>
    <s v="Unique"/>
    <n v="0.7"/>
    <s v="Invalid: Above Allowed Range (Text Format)"/>
    <n v="788.52600000000018"/>
    <x v="320"/>
    <n v="-0.95496407220560842"/>
    <x v="8"/>
    <x v="0"/>
    <s v="Invalid"/>
  </r>
  <r>
    <s v="ORD-2024-10322"/>
    <d v="2024-06-23T00:00:00"/>
    <d v="2024-06-30T00:00:00"/>
    <s v="CUST-7821"/>
    <s v="Neha Gupta"/>
    <x v="1"/>
    <x v="3"/>
    <s v="Goa"/>
    <s v="Panaji"/>
    <x v="2"/>
    <x v="5"/>
    <s v="Eco Accessories 220"/>
    <x v="1"/>
    <n v="4"/>
    <n v="674.82"/>
    <n v="0"/>
    <n v="2699.28"/>
    <n v="1759.76"/>
    <n v="939.52"/>
    <s v="Failed"/>
    <x v="1"/>
    <s v="OK"/>
    <s v="OK"/>
    <s v="OK"/>
    <s v="OK"/>
    <n v="7"/>
    <s v="Unique"/>
    <n v="0"/>
    <s v="Valid"/>
    <n v="2699.28"/>
    <x v="321"/>
    <n v="0.34806318722029583"/>
    <x v="2"/>
    <x v="0"/>
    <s v="Clean"/>
  </r>
  <r>
    <s v="ORD-2024-10323"/>
    <d v="2024-11-12T00:00:00"/>
    <d v="2024-11-12T00:00:00"/>
    <s v="CUST-8579"/>
    <s v="Isha Nair"/>
    <x v="0"/>
    <x v="0"/>
    <s v="Uttar Pradesh"/>
    <s v="Noida"/>
    <x v="2"/>
    <x v="11"/>
    <s v="Max Phones 422"/>
    <x v="0"/>
    <n v="6"/>
    <n v="1369.48"/>
    <n v="0.15"/>
    <n v="6984.35"/>
    <n v="4023.63"/>
    <n v="2960.72"/>
    <s v="Paid"/>
    <x v="0"/>
    <s v="OK"/>
    <s v="OK"/>
    <s v="OK"/>
    <s v="OK"/>
    <n v="0"/>
    <s v="Unique"/>
    <n v="0.15"/>
    <s v="Valid"/>
    <n v="6984.3480000000009"/>
    <x v="322"/>
    <n v="0.42390757161584736"/>
    <x v="3"/>
    <x v="0"/>
    <s v="Clean"/>
  </r>
  <r>
    <s v="ORD-2024-10324"/>
    <d v="2024-02-25T00:00:00"/>
    <d v="2024-02-29T00:00:00"/>
    <s v="CUST-6909"/>
    <s v="Isha Nair"/>
    <x v="1"/>
    <x v="3"/>
    <s v="Goa"/>
    <s v="Panaji"/>
    <x v="1"/>
    <x v="3"/>
    <s v="Eco Furnishings 897"/>
    <x v="3"/>
    <n v="9"/>
    <n v="1331.46"/>
    <n v="0.15"/>
    <n v="10185.67"/>
    <n v="6479.31"/>
    <n v="3706.36"/>
    <s v="Paid"/>
    <x v="0"/>
    <s v="OK"/>
    <s v="OK"/>
    <s v="OK"/>
    <s v="OK"/>
    <n v="4"/>
    <s v="Unique"/>
    <n v="0.15"/>
    <s v="Valid"/>
    <n v="10185.669"/>
    <x v="323"/>
    <n v="0.36387978050337189"/>
    <x v="6"/>
    <x v="0"/>
    <s v="Clean"/>
  </r>
  <r>
    <s v="ORD-2025-10325"/>
    <d v="2025-07-31T00:00:00"/>
    <d v="2025-08-02T00:00:00"/>
    <s v="CUST-7212"/>
    <s v="Rohan Mehta"/>
    <x v="3"/>
    <x v="2"/>
    <s v="Andhra Pradesh"/>
    <s v="Vijayawada"/>
    <x v="0"/>
    <x v="7"/>
    <s v="Basic Labels 102"/>
    <x v="1"/>
    <n v="1"/>
    <n v="1947.88"/>
    <n v="0.15"/>
    <n v="1655.7"/>
    <n v="1354.8"/>
    <n v="300.89999999999998"/>
    <s v="Paid"/>
    <x v="2"/>
    <s v="OK"/>
    <s v="OK"/>
    <s v="OK"/>
    <s v="OK"/>
    <n v="2"/>
    <s v="Unique"/>
    <n v="0.15"/>
    <s v="Valid"/>
    <n v="1655.6980000000001"/>
    <x v="324"/>
    <n v="0.1817348332848141"/>
    <x v="0"/>
    <x v="1"/>
    <s v="Clean"/>
  </r>
  <r>
    <s v="ORD-2025-10326"/>
    <d v="2025-09-16T00:00:00"/>
    <d v="2025-09-22T00:00:00"/>
    <s v="CUST-7980"/>
    <s v="Sneha Kapoor"/>
    <x v="3"/>
    <x v="1"/>
    <s v="West Bengal"/>
    <s v="Kolkata"/>
    <x v="2"/>
    <x v="6"/>
    <s v="Prime Copiers 170"/>
    <x v="0"/>
    <n v="5"/>
    <n v="3671.2"/>
    <n v="0.15"/>
    <n v="15602.6"/>
    <n v="11908.52"/>
    <n v="3694.08"/>
    <s v="Paid"/>
    <x v="0"/>
    <s v="OK"/>
    <s v="OK"/>
    <s v="OK"/>
    <s v="OK"/>
    <n v="6"/>
    <s v="Unique"/>
    <n v="0.15"/>
    <s v="Valid"/>
    <n v="15602.6"/>
    <x v="325"/>
    <n v="0.236760539910015"/>
    <x v="7"/>
    <x v="1"/>
    <s v="Clean"/>
  </r>
  <r>
    <s v="ORD-2025-10327"/>
    <d v="2025-07-22T00:00:00"/>
    <d v="2025-07-22T00:00:00"/>
    <s v="CUST-1966"/>
    <s v="Sneha Kapoor"/>
    <x v="2"/>
    <x v="1"/>
    <s v="Jharkhand"/>
    <s v="Ranchi"/>
    <x v="1"/>
    <x v="3"/>
    <s v="Smart Furnishings 533"/>
    <x v="1"/>
    <n v="5"/>
    <n v="3187.05"/>
    <n v="0.05"/>
    <n v="15138.49"/>
    <n v="11235.72"/>
    <n v="3902.77"/>
    <s v="Paid"/>
    <x v="0"/>
    <s v="OK"/>
    <s v="OK"/>
    <s v="OK"/>
    <s v="OK"/>
    <n v="0"/>
    <s v="Unique"/>
    <n v="0.05"/>
    <s v="Valid"/>
    <n v="15138.487499999999"/>
    <x v="326"/>
    <n v="0.25780432160082045"/>
    <x v="0"/>
    <x v="1"/>
    <s v="Clean"/>
  </r>
  <r>
    <s v="ORD-2024-10328"/>
    <d v="2024-07-24T00:00:00"/>
    <d v="2024-07-27T00:00:00"/>
    <s v="CUST-6163"/>
    <s v="Isha Nair"/>
    <x v="0"/>
    <x v="3"/>
    <s v="Rajasthan"/>
    <s v="Udaipur"/>
    <x v="2"/>
    <x v="5"/>
    <s v="Classic Accessories 489"/>
    <x v="0"/>
    <n v="3"/>
    <n v="1834.55"/>
    <n v="0.2"/>
    <n v="4402.92"/>
    <n v="2993.94"/>
    <n v="1408.98"/>
    <s v="Pending"/>
    <x v="1"/>
    <s v="OK"/>
    <s v="OK"/>
    <s v="OK"/>
    <s v="OK"/>
    <n v="3"/>
    <s v="Unique"/>
    <n v="0.2"/>
    <s v="Valid"/>
    <n v="4402.92"/>
    <x v="327"/>
    <n v="0.32001035676323897"/>
    <x v="0"/>
    <x v="0"/>
    <s v="Clean"/>
  </r>
  <r>
    <s v="ORD-2025-10329"/>
    <d v="2025-05-29T00:00:00"/>
    <d v="2025-06-04T00:00:00"/>
    <s v="CUST-7239"/>
    <s v="Diya Patel"/>
    <x v="0"/>
    <x v="3"/>
    <s v="Maharashtra"/>
    <s v="Mumbai"/>
    <x v="0"/>
    <x v="8"/>
    <s v="Smart Storage 439"/>
    <x v="2"/>
    <n v="6"/>
    <n v="3100.68"/>
    <n v="0"/>
    <n v="18604.080000000002"/>
    <n v="15834.3"/>
    <n v="2769.78"/>
    <s v="Paid"/>
    <x v="0"/>
    <s v="OK"/>
    <s v="OK"/>
    <s v="OK"/>
    <s v="OK"/>
    <n v="6"/>
    <s v="Unique"/>
    <n v="0"/>
    <s v="Valid"/>
    <n v="18604.079999999998"/>
    <x v="328"/>
    <n v="0.1488802456235406"/>
    <x v="4"/>
    <x v="1"/>
    <s v="Clean"/>
  </r>
  <r>
    <s v="ORD-2025-10330"/>
    <d v="2025-05-12T00:00:00"/>
    <d v="2025-05-18T00:00:00"/>
    <s v="CUST-9718"/>
    <s v="Neha Gupta"/>
    <x v="1"/>
    <x v="3"/>
    <s v="Maharashtra"/>
    <s v="Mumbai"/>
    <x v="0"/>
    <x v="8"/>
    <s v="Prime Storage 232"/>
    <x v="3"/>
    <n v="4"/>
    <n v="4053.03"/>
    <n v="0.05"/>
    <n v="15401.51"/>
    <n v="8650.42"/>
    <n v="6751.09"/>
    <s v="Paid"/>
    <x v="0"/>
    <s v="OK"/>
    <s v="OK"/>
    <s v="OK"/>
    <s v="OK"/>
    <n v="6"/>
    <s v="Unique"/>
    <n v="0.05"/>
    <s v="Valid"/>
    <n v="15401.513999999999"/>
    <x v="329"/>
    <n v="0.43833963336331738"/>
    <x v="4"/>
    <x v="1"/>
    <s v="Clean"/>
  </r>
  <r>
    <s v="ORD-2024-10331"/>
    <d v="2024-05-16T00:00:00"/>
    <d v="2024-05-24T00:00:00"/>
    <s v="CUST-1116"/>
    <s v="Arjun Bose"/>
    <x v="3"/>
    <x v="0"/>
    <s v="Punjab"/>
    <s v="Ludhiana"/>
    <x v="2"/>
    <x v="5"/>
    <s v="Prime Accessories 335"/>
    <x v="1"/>
    <n v="1"/>
    <n v="783.09"/>
    <n v="0"/>
    <n v="783.09"/>
    <n v="503.89"/>
    <n v="279.2"/>
    <s v="Failed"/>
    <x v="1"/>
    <s v="OK"/>
    <s v="OK"/>
    <s v="OK"/>
    <s v="OK"/>
    <n v="8"/>
    <s v="Unique"/>
    <n v="0"/>
    <s v="Valid"/>
    <n v="783.09"/>
    <x v="330"/>
    <n v="0.3565362857398256"/>
    <x v="4"/>
    <x v="0"/>
    <s v="Clean"/>
  </r>
  <r>
    <s v="ORD-2024-10332"/>
    <d v="2024-12-04T00:00:00"/>
    <d v="2024-12-06T00:00:00"/>
    <s v="CUST-9346"/>
    <s v="Sneha Kapoor"/>
    <x v="3"/>
    <x v="1"/>
    <s v="Odisha"/>
    <s v="Bhubaneswar"/>
    <x v="0"/>
    <x v="9"/>
    <s v="Smart Binders 939"/>
    <x v="0"/>
    <n v="4"/>
    <n v="2685.66"/>
    <n v="0"/>
    <n v="10742.64"/>
    <n v="6477.37"/>
    <n v="4265.2700000000004"/>
    <s v="Paid"/>
    <x v="2"/>
    <s v="OK"/>
    <s v="OK"/>
    <s v="OK"/>
    <s v="OK"/>
    <n v="2"/>
    <s v="Conflicting Duplicate - Manual Review Required"/>
    <n v="0"/>
    <s v="Valid"/>
    <n v="10742.64"/>
    <x v="331"/>
    <n v="0.39704113700170535"/>
    <x v="8"/>
    <x v="0"/>
    <s v="Invalid"/>
  </r>
  <r>
    <s v="ORD-2025-10333"/>
    <d v="2025-05-27T00:00:00"/>
    <d v="2025-05-28T00:00:00"/>
    <s v="CUST-5332"/>
    <s v="Aarav Sharma"/>
    <x v="0"/>
    <x v="2"/>
    <s v="Andhra Pradesh"/>
    <s v="Vijayawada"/>
    <x v="2"/>
    <x v="12"/>
    <s v="Basic Machines 601"/>
    <x v="0"/>
    <n v="2"/>
    <n v="3911.96"/>
    <n v="0"/>
    <n v="7823.92"/>
    <n v="6034.63"/>
    <n v="1789.29"/>
    <s v="Paid"/>
    <x v="0"/>
    <s v="OK"/>
    <s v="OK"/>
    <s v="OK"/>
    <s v="OK"/>
    <n v="1"/>
    <s v="Unique"/>
    <n v="0"/>
    <s v="Valid"/>
    <n v="7823.92"/>
    <x v="332"/>
    <n v="0.22869482305545047"/>
    <x v="4"/>
    <x v="1"/>
    <s v="Clean"/>
  </r>
  <r>
    <s v="ORD-2025-10334"/>
    <d v="2025-06-22T00:00:00"/>
    <d v="2025-06-27T00:00:00"/>
    <s v="CUST-8081"/>
    <s v="Rohan Mehta"/>
    <x v="3"/>
    <x v="4"/>
    <s v="Delhi"/>
    <s v="New Delhi"/>
    <x v="2"/>
    <x v="11"/>
    <s v="Pro Phones 968"/>
    <x v="2"/>
    <n v="2"/>
    <n v="1468.05"/>
    <n v="0"/>
    <n v="2936.1"/>
    <n v="1923.1"/>
    <n v="1013"/>
    <s v="Paid"/>
    <x v="0"/>
    <s v="OK"/>
    <s v="OK"/>
    <s v="OK"/>
    <s v="OK"/>
    <n v="5"/>
    <s v="Unique"/>
    <n v="0"/>
    <s v="Valid"/>
    <n v="2936.1"/>
    <x v="333"/>
    <n v="0.34501549674738602"/>
    <x v="2"/>
    <x v="1"/>
    <s v="Warning"/>
  </r>
  <r>
    <s v="ORD-2024-10335"/>
    <d v="2024-09-12T00:00:00"/>
    <d v="2024-09-17T00:00:00"/>
    <s v="CUST-3062"/>
    <s v="Ananya Rao"/>
    <x v="0"/>
    <x v="1"/>
    <s v="Jharkhand"/>
    <s v="Ranchi"/>
    <x v="0"/>
    <x v="8"/>
    <s v="Pro Storage 563"/>
    <x v="2"/>
    <n v="9"/>
    <n v="1921.47"/>
    <n v="0.25"/>
    <n v="12969.92"/>
    <n v="9398.4599999999991"/>
    <n v="3571.46"/>
    <s v="Paid"/>
    <x v="0"/>
    <s v="OK"/>
    <s v="OK"/>
    <s v="OK"/>
    <s v="OK"/>
    <n v="5"/>
    <s v="Unique"/>
    <n v="0.25"/>
    <s v="Valid"/>
    <n v="12969.922500000001"/>
    <x v="334"/>
    <n v="0.27536498386941027"/>
    <x v="7"/>
    <x v="0"/>
    <s v="Clean"/>
  </r>
  <r>
    <s v="ORD-2025-10336"/>
    <d v="2025-06-16T00:00:00"/>
    <d v="2025-06-18T00:00:00"/>
    <s v="CUST-3621"/>
    <s v="Rahul Verma"/>
    <x v="3"/>
    <x v="3"/>
    <s v="Madhya Pradesh"/>
    <s v="Indore"/>
    <x v="0"/>
    <x v="0"/>
    <s v="Prime Paper 559"/>
    <x v="2"/>
    <n v="3"/>
    <n v="4289.37"/>
    <n v="0.1"/>
    <n v="11581.3"/>
    <n v="6829.43"/>
    <n v="4751.87"/>
    <s v="Paid"/>
    <x v="0"/>
    <s v="OK"/>
    <s v="OK"/>
    <s v="OK"/>
    <s v="OK"/>
    <n v="2"/>
    <s v="Conflicting Duplicate - Manual Review Required"/>
    <n v="0.1"/>
    <s v="Valid"/>
    <n v="11581.299000000001"/>
    <x v="335"/>
    <n v="0.41030535521101735"/>
    <x v="2"/>
    <x v="1"/>
    <s v="Invalid"/>
  </r>
  <r>
    <s v="ORD-2024-10337"/>
    <d v="2024-03-17T00:00:00"/>
    <d v="2024-03-21T00:00:00"/>
    <s v="CUST-2103"/>
    <s v="Aarav Sharma"/>
    <x v="0"/>
    <x v="0"/>
    <s v="Rajasthan"/>
    <s v="Jaipur"/>
    <x v="2"/>
    <x v="6"/>
    <s v="Pro Copiers 999"/>
    <x v="2"/>
    <n v="8"/>
    <n v="1992.57"/>
    <n v="0"/>
    <n v="15940.56"/>
    <n v="12347.15"/>
    <n v="3593.41"/>
    <s v="Paid"/>
    <x v="0"/>
    <s v="OK"/>
    <s v="OK"/>
    <s v="OK"/>
    <s v="OK"/>
    <n v="4"/>
    <s v="Unique"/>
    <n v="0"/>
    <s v="Valid"/>
    <n v="15940.56"/>
    <x v="336"/>
    <n v="0.2254255810335396"/>
    <x v="11"/>
    <x v="0"/>
    <s v="Clean"/>
  </r>
  <r>
    <s v="ORD-2024-10338"/>
    <d v="2024-08-12T00:00:00"/>
    <d v="2024-08-18T00:00:00"/>
    <s v="CUST-4599"/>
    <s v="Ananya Rao"/>
    <x v="0"/>
    <x v="1"/>
    <s v="Assam"/>
    <s v="Guwahati"/>
    <x v="0"/>
    <x v="7"/>
    <s v="Classic Labels 206"/>
    <x v="1"/>
    <n v="6"/>
    <n v="1181.74"/>
    <n v="0"/>
    <n v="7090.44"/>
    <n v="5672.27"/>
    <n v="1262.8699999999999"/>
    <s v="Paid"/>
    <x v="0"/>
    <s v="OK"/>
    <s v="OK"/>
    <s v="OK"/>
    <s v="OK"/>
    <n v="6"/>
    <s v="Unique"/>
    <n v="0"/>
    <s v="Valid"/>
    <n v="7090.4400000000005"/>
    <x v="337"/>
    <n v="0.20001156486762456"/>
    <x v="1"/>
    <x v="0"/>
    <s v="Clean"/>
  </r>
  <r>
    <s v="ORD-2024-10339"/>
    <d v="2024-12-08T00:00:00"/>
    <d v="2024-12-08T00:00:00"/>
    <s v="CUST-3066"/>
    <s v="Arjun Bose"/>
    <x v="1"/>
    <x v="2"/>
    <s v="Andhra Pradesh"/>
    <s v="Vijayawada"/>
    <x v="2"/>
    <x v="5"/>
    <s v="Eco Accessories 315"/>
    <x v="2"/>
    <n v="8"/>
    <n v="4402.3599999999997"/>
    <n v="0.25"/>
    <n v="26414.16"/>
    <n v="21822.53"/>
    <n v="4591.63"/>
    <s v="Paid"/>
    <x v="0"/>
    <s v="OK"/>
    <s v="OK"/>
    <s v="OK"/>
    <s v="OK"/>
    <n v="0"/>
    <s v="Unique"/>
    <n v="0.25"/>
    <s v="Valid"/>
    <n v="26414.159999999996"/>
    <x v="338"/>
    <n v="0.17383214154832097"/>
    <x v="8"/>
    <x v="0"/>
    <s v="Clean"/>
  </r>
  <r>
    <s v="ORD-2025-10340"/>
    <d v="2025-02-20T00:00:00"/>
    <d v="2025-02-22T00:00:00"/>
    <s v="CUST-2752"/>
    <s v="Neha Gupta"/>
    <x v="2"/>
    <x v="1"/>
    <s v="Jharkhand"/>
    <s v="Ranchi"/>
    <x v="1"/>
    <x v="10"/>
    <s v="Elite Bookcases 988"/>
    <x v="3"/>
    <n v="8"/>
    <n v="3265.76"/>
    <n v="0.2"/>
    <n v="20900.86"/>
    <n v="12513.14"/>
    <n v="8387.7199999999993"/>
    <s v="Paid"/>
    <x v="0"/>
    <s v="OK"/>
    <s v="OK"/>
    <s v="OK"/>
    <s v="OK"/>
    <n v="2"/>
    <s v="Unique"/>
    <n v="0.2"/>
    <s v="Valid"/>
    <n v="20900.864000000001"/>
    <x v="339"/>
    <n v="0.40130991714026759"/>
    <x v="6"/>
    <x v="1"/>
    <s v="Clean"/>
  </r>
  <r>
    <s v="ORD-2024-10341"/>
    <d v="2024-01-21T00:00:00"/>
    <d v="2024-01-29T00:00:00"/>
    <s v="CUST-6291"/>
    <s v="Neha Gupta"/>
    <x v="0"/>
    <x v="2"/>
    <s v="Karnataka"/>
    <s v="Bengaluru"/>
    <x v="0"/>
    <x v="9"/>
    <s v="Smart Binders 414"/>
    <x v="3"/>
    <n v="5"/>
    <n v="4058.08"/>
    <n v="0.1"/>
    <n v="18261.36"/>
    <n v="11399.94"/>
    <n v="6861.42"/>
    <s v="Paid"/>
    <x v="0"/>
    <s v="OK"/>
    <s v="OK"/>
    <s v="OK"/>
    <s v="OK"/>
    <n v="8"/>
    <s v="Unique"/>
    <n v="0.1"/>
    <s v="Valid"/>
    <n v="18261.36"/>
    <x v="340"/>
    <n v="0.3757343374206521"/>
    <x v="10"/>
    <x v="0"/>
    <s v="Clean"/>
  </r>
  <r>
    <s v="ORD-2025-10342"/>
    <d v="2025-09-08T00:00:00"/>
    <d v="2025-09-09T00:00:00"/>
    <s v="CUST-9969"/>
    <s v="Rohan Mehta"/>
    <x v="3"/>
    <x v="3"/>
    <s v="Gujarat"/>
    <s v="Ahmedabad"/>
    <x v="1"/>
    <x v="4"/>
    <s v="Eco Chairs 552"/>
    <x v="0"/>
    <n v="2"/>
    <n v="3960.33"/>
    <n v="0.05"/>
    <n v="7524.63"/>
    <n v="6229.6"/>
    <n v="1295.03"/>
    <s v="Paid"/>
    <x v="0"/>
    <s v="OK"/>
    <s v="OK"/>
    <s v="OK"/>
    <s v="OK"/>
    <n v="1"/>
    <s v="Unique"/>
    <n v="0.05"/>
    <s v="Valid"/>
    <n v="7524.6269999999995"/>
    <x v="341"/>
    <n v="0.17210514222166751"/>
    <x v="7"/>
    <x v="1"/>
    <s v="Clean"/>
  </r>
  <r>
    <s v="ORD-2025-10343"/>
    <d v="2025-07-24T00:00:00"/>
    <d v="2025-08-01T00:00:00"/>
    <s v="CUST-3335"/>
    <s v="Kabir Singh"/>
    <x v="1"/>
    <x v="1"/>
    <s v="Jharkhand"/>
    <s v="Ranchi"/>
    <x v="0"/>
    <x v="9"/>
    <s v="Smart Binders 574"/>
    <x v="2"/>
    <n v="8"/>
    <n v="1528.92"/>
    <n v="0"/>
    <n v="12231.36"/>
    <n v="8766.9"/>
    <n v="3464.46"/>
    <s v="Paid"/>
    <x v="0"/>
    <s v="OK"/>
    <s v="OK"/>
    <s v="OK"/>
    <s v="OK"/>
    <n v="8"/>
    <s v="Unique"/>
    <n v="0"/>
    <s v="Valid"/>
    <n v="12231.36"/>
    <x v="342"/>
    <n v="0.28324405462679547"/>
    <x v="0"/>
    <x v="1"/>
    <s v="Clean"/>
  </r>
  <r>
    <s v="ORD-2025-10344"/>
    <d v="2025-10-03T00:00:00"/>
    <d v="2025-10-08T00:00:00"/>
    <s v="CUST-7358"/>
    <s v="Aarav Sharma"/>
    <x v="2"/>
    <x v="3"/>
    <s v="Madhya Pradesh"/>
    <s v="Indore"/>
    <x v="2"/>
    <x v="12"/>
    <s v="Pro Machines 444"/>
    <x v="1"/>
    <n v="9"/>
    <n v="3837"/>
    <n v="0.1"/>
    <n v="31079.7"/>
    <n v="17758.25"/>
    <n v="13321.45"/>
    <s v="Paid"/>
    <x v="0"/>
    <s v="OK"/>
    <s v="OK"/>
    <s v="OK"/>
    <s v="OK"/>
    <n v="5"/>
    <s v="Unique"/>
    <n v="0.1"/>
    <s v="Valid"/>
    <n v="31079.7"/>
    <x v="343"/>
    <n v="0.4286222196481948"/>
    <x v="9"/>
    <x v="1"/>
    <s v="Clean"/>
  </r>
  <r>
    <s v="ORD-2024-10345"/>
    <d v="2024-03-11T00:00:00"/>
    <d v="2024-03-11T00:00:00"/>
    <s v="CUST-8025"/>
    <s v="Priya Menon"/>
    <x v="0"/>
    <x v="0"/>
    <s v="Punjab"/>
    <s v="Ludhiana"/>
    <x v="1"/>
    <x v="10"/>
    <s v="Elite Bookcases 184"/>
    <x v="1"/>
    <n v="9"/>
    <n v="3456.38"/>
    <n v="0"/>
    <n v="31107.42"/>
    <n v="20146.66"/>
    <n v="10960.76"/>
    <s v="Pending"/>
    <x v="2"/>
    <s v="OK"/>
    <s v="OK"/>
    <s v="OK"/>
    <s v="OK"/>
    <n v="0"/>
    <s v="Unique"/>
    <n v="0"/>
    <s v="Valid"/>
    <n v="31107.420000000002"/>
    <x v="344"/>
    <n v="0.3523519468988428"/>
    <x v="11"/>
    <x v="0"/>
    <s v="Clean"/>
  </r>
  <r>
    <s v="ORD-2024-10346"/>
    <d v="2024-09-14T00:00:00"/>
    <d v="2024-09-22T00:00:00"/>
    <s v="CUST-4634"/>
    <s v="Karan Malhotra"/>
    <x v="0"/>
    <x v="3"/>
    <s v="Madhya Pradesh"/>
    <s v="Indore"/>
    <x v="1"/>
    <x v="3"/>
    <s v="Elite Furnishings 138"/>
    <x v="0"/>
    <n v="2"/>
    <n v="2765.3"/>
    <n v="0"/>
    <n v="5530.6"/>
    <n v="4453.1099999999997"/>
    <n v="1077.49"/>
    <s v="Paid"/>
    <x v="0"/>
    <s v="OK"/>
    <s v="OK"/>
    <s v="OK"/>
    <s v="OK"/>
    <n v="8"/>
    <s v="Unique"/>
    <n v="0"/>
    <s v="Valid"/>
    <n v="5530.6"/>
    <x v="345"/>
    <n v="0.19482334647235391"/>
    <x v="7"/>
    <x v="0"/>
    <s v="Clean"/>
  </r>
  <r>
    <s v="ORD-2025-10347"/>
    <d v="2025-07-22T00:00:00"/>
    <d v="2025-07-28T00:00:00"/>
    <s v="CUST-3400"/>
    <s v="Rahul Verma"/>
    <x v="2"/>
    <x v="2"/>
    <s v="Kerala"/>
    <s v="Kochi"/>
    <x v="1"/>
    <x v="4"/>
    <s v="Eco Chairs 369"/>
    <x v="0"/>
    <n v="6"/>
    <n v="1607.46"/>
    <n v="0.2"/>
    <n v="7715.81"/>
    <n v="4258.42"/>
    <n v="3457.39"/>
    <s v="Paid"/>
    <x v="0"/>
    <s v="OK"/>
    <s v="OK"/>
    <s v="OK"/>
    <s v="OK"/>
    <n v="6"/>
    <s v="Unique"/>
    <n v="0.2"/>
    <s v="Valid"/>
    <n v="7715.8080000000009"/>
    <x v="346"/>
    <n v="0.4480915025360922"/>
    <x v="0"/>
    <x v="1"/>
    <s v="Clean"/>
  </r>
  <r>
    <s v="ORD-2024-10348"/>
    <d v="2024-12-01T00:00:00"/>
    <d v="2024-12-08T00:00:00"/>
    <s v="CUST-1172"/>
    <s v="Aarav Sharma"/>
    <x v="1"/>
    <x v="3"/>
    <s v="Goa"/>
    <s v="Panaji"/>
    <x v="1"/>
    <x v="4"/>
    <s v="Max Chairs 487"/>
    <x v="0"/>
    <n v="5"/>
    <n v="2981.49"/>
    <n v="0.2"/>
    <n v="11925.96"/>
    <n v="10103.51"/>
    <n v="1822.45"/>
    <s v="Refunded"/>
    <x v="2"/>
    <s v="OK"/>
    <s v="OK"/>
    <s v="OK"/>
    <s v="OK"/>
    <n v="7"/>
    <s v="Unique"/>
    <n v="0.2"/>
    <s v="Valid"/>
    <n v="11925.96"/>
    <x v="347"/>
    <n v="0.15281369382422874"/>
    <x v="8"/>
    <x v="0"/>
    <s v="Clean"/>
  </r>
  <r>
    <s v="ORD-2024-10349"/>
    <d v="2024-06-02T00:00:00"/>
    <d v="2024-06-07T00:00:00"/>
    <s v="CUST-9517"/>
    <s v="Aarav Sharma"/>
    <x v="2"/>
    <x v="2"/>
    <s v="Karnataka"/>
    <s v="Bengaluru"/>
    <x v="2"/>
    <x v="11"/>
    <s v="Classic Phones 989"/>
    <x v="1"/>
    <n v="9"/>
    <n v="2860.26"/>
    <n v="0.25"/>
    <n v="19306.759999999998"/>
    <n v="14442.38"/>
    <n v="4864.38"/>
    <s v="Paid"/>
    <x v="0"/>
    <s v="OK"/>
    <s v="OK"/>
    <s v="OK"/>
    <s v="OK"/>
    <n v="5"/>
    <s v="Unique"/>
    <n v="0.25"/>
    <s v="Valid"/>
    <n v="19306.755000000005"/>
    <x v="348"/>
    <n v="0.25195197225012717"/>
    <x v="2"/>
    <x v="0"/>
    <s v="Clean"/>
  </r>
  <r>
    <s v="ORD-2025-10350"/>
    <d v="2025-09-27T00:00:00"/>
    <d v="2025-09-29T00:00:00"/>
    <s v="CUST-6697"/>
    <s v="Kabir Singh"/>
    <x v="3"/>
    <x v="1"/>
    <s v="Jharkhand"/>
    <s v="Ranchi"/>
    <x v="1"/>
    <x v="3"/>
    <s v="Max Furnishings 628"/>
    <x v="0"/>
    <n v="9"/>
    <n v="2867.55"/>
    <n v="0.25"/>
    <n v="19355.96"/>
    <n v="15012.45"/>
    <n v="4017.4"/>
    <s v="Paid"/>
    <x v="0"/>
    <s v="OK"/>
    <s v="OK"/>
    <s v="OK"/>
    <s v="OK"/>
    <n v="2"/>
    <s v="Unique"/>
    <n v="0.25"/>
    <s v="Valid"/>
    <n v="19355.962500000001"/>
    <x v="349"/>
    <n v="0.22440178317146461"/>
    <x v="7"/>
    <x v="1"/>
    <s v="Clean"/>
  </r>
  <r>
    <s v="ORD-2024-10351"/>
    <d v="2024-01-07T00:00:00"/>
    <d v="2024-01-14T00:00:00"/>
    <s v="CUST-7644"/>
    <s v="Sneha Kapoor"/>
    <x v="1"/>
    <x v="1"/>
    <s v="Jharkhand"/>
    <s v="Ranchi"/>
    <x v="1"/>
    <x v="3"/>
    <s v="Elite Furnishings 279"/>
    <x v="0"/>
    <n v="4"/>
    <n v="3309.54"/>
    <n v="0.1"/>
    <n v="11914.34"/>
    <n v="9771.24"/>
    <n v="2143.1"/>
    <s v="Refunded"/>
    <x v="2"/>
    <s v="OK"/>
    <s v="OK"/>
    <s v="OK"/>
    <s v="OK"/>
    <n v="7"/>
    <s v="Unique"/>
    <n v="0.1"/>
    <s v="Valid"/>
    <n v="11914.344000000001"/>
    <x v="350"/>
    <n v="0.17987595456367561"/>
    <x v="10"/>
    <x v="0"/>
    <s v="Clean"/>
  </r>
  <r>
    <s v="ORD-2025-10352"/>
    <d v="2025-05-23T00:00:00"/>
    <d v="2025-05-27T00:00:00"/>
    <s v="CUST-9963"/>
    <s v="Vikram Iyer"/>
    <x v="1"/>
    <x v="2"/>
    <s v="Telangana"/>
    <s v="Hyderabad"/>
    <x v="0"/>
    <x v="8"/>
    <s v="Pro Storage 847"/>
    <x v="2"/>
    <n v="6"/>
    <n v="719.44"/>
    <n v="0.25"/>
    <n v="3237.48"/>
    <n v="2118.34"/>
    <n v="1119.1400000000001"/>
    <s v="Pending"/>
    <x v="1"/>
    <s v="OK"/>
    <s v="OK"/>
    <s v="OK"/>
    <s v="OK"/>
    <n v="4"/>
    <s v="Unique"/>
    <n v="0.25"/>
    <s v="Valid"/>
    <n v="3237.4800000000005"/>
    <x v="351"/>
    <n v="0.34568244437031276"/>
    <x v="4"/>
    <x v="1"/>
    <s v="Clean"/>
  </r>
  <r>
    <s v="ORD-2025-10353"/>
    <d v="2025-08-15T00:00:00"/>
    <d v="2025-08-17T00:00:00"/>
    <s v="CUST-6382"/>
    <s v="Diya Patel"/>
    <x v="1"/>
    <x v="1"/>
    <s v="Assam"/>
    <s v="Guwahati"/>
    <x v="2"/>
    <x v="6"/>
    <s v="Elite Copiers 706"/>
    <x v="2"/>
    <n v="5"/>
    <n v="2862.6"/>
    <n v="0.25"/>
    <n v="10734.75"/>
    <n v="6475.73"/>
    <n v="4259.0200000000004"/>
    <s v="Paid"/>
    <x v="0"/>
    <s v="OK"/>
    <s v="OK"/>
    <s v="OK"/>
    <s v="OK"/>
    <n v="2"/>
    <s v="Unique"/>
    <n v="0.25"/>
    <s v="Valid"/>
    <n v="10734.75"/>
    <x v="352"/>
    <n v="0.39675073942103917"/>
    <x v="1"/>
    <x v="1"/>
    <s v="Clean"/>
  </r>
  <r>
    <s v="ORD-2025-10354"/>
    <d v="2025-02-21T00:00:00"/>
    <d v="2025-02-27T00:00:00"/>
    <s v="CUST-3253"/>
    <s v="Ananya Rao"/>
    <x v="0"/>
    <x v="0"/>
    <s v="Rajasthan"/>
    <s v="Jaipur"/>
    <x v="0"/>
    <x v="2"/>
    <s v="Prime Art 978"/>
    <x v="1"/>
    <n v="9"/>
    <n v="1431.67"/>
    <n v="0.2"/>
    <n v="10308.02"/>
    <n v="5822.31"/>
    <n v="4485.71"/>
    <s v="Paid"/>
    <x v="0"/>
    <s v="OK"/>
    <s v="OK"/>
    <s v="OK"/>
    <s v="OK"/>
    <n v="6"/>
    <s v="Unique"/>
    <n v="0.2"/>
    <s v="Valid"/>
    <n v="10308.024000000001"/>
    <x v="353"/>
    <n v="0.4351672056642476"/>
    <x v="6"/>
    <x v="1"/>
    <s v="Clean"/>
  </r>
  <r>
    <s v="ORD-2024-10355"/>
    <d v="2024-12-27T00:00:00"/>
    <d v="2024-12-31T00:00:00"/>
    <s v="CUST-1058"/>
    <s v="Kabir Singh"/>
    <x v="2"/>
    <x v="0"/>
    <s v="Punjab"/>
    <s v="Ludhiana"/>
    <x v="1"/>
    <x v="3"/>
    <s v="Classic Furnishings 498"/>
    <x v="3"/>
    <n v="6"/>
    <n v="3346.78"/>
    <n v="-0.06"/>
    <n v="20080.68"/>
    <n v="12908.84"/>
    <n v="7171.84"/>
    <s v="Pending"/>
    <x v="1"/>
    <s v="OK"/>
    <s v="OK"/>
    <s v="OK"/>
    <s v="OK"/>
    <n v="4"/>
    <s v="Unique"/>
    <n v="-0.06"/>
    <s v="Invalid: Negative Discount"/>
    <n v="21285.520800000002"/>
    <x v="354"/>
    <n v="0.39353891683965753"/>
    <x v="8"/>
    <x v="0"/>
    <s v="Invalid"/>
  </r>
  <r>
    <s v="ORD-2024-10356"/>
    <d v="2024-05-12T00:00:00"/>
    <d v="2024-05-09T00:00:00"/>
    <s v="CUST-6414"/>
    <s v="Priya Menon"/>
    <x v="2"/>
    <x v="3"/>
    <s v="Rajasthan"/>
    <s v="Udaipur"/>
    <x v="1"/>
    <x v="1"/>
    <s v="Max Tables 829"/>
    <x v="3"/>
    <n v="5"/>
    <n v="3203.48"/>
    <n v="0"/>
    <n v="16017.4"/>
    <n v="9557.7999999999993"/>
    <n v="6459.6"/>
    <s v="Pending"/>
    <x v="1"/>
    <s v="OK"/>
    <s v="OK"/>
    <s v="OK"/>
    <s v="Invalid: Ship Before Order"/>
    <n v="-3"/>
    <s v="Unique"/>
    <n v="0"/>
    <s v="Valid"/>
    <n v="16017.4"/>
    <x v="355"/>
    <n v="0.40328642601171227"/>
    <x v="4"/>
    <x v="0"/>
    <s v="Invalid"/>
  </r>
  <r>
    <s v="ORD-2025-10357"/>
    <d v="2025-06-27T00:00:00"/>
    <d v="2025-06-29T00:00:00"/>
    <s v="CUST-9268"/>
    <s v="Rohan Mehta"/>
    <x v="3"/>
    <x v="2"/>
    <s v="Telangana"/>
    <s v="Hyderabad"/>
    <x v="1"/>
    <x v="4"/>
    <s v="Eco Chairs 346"/>
    <x v="2"/>
    <n v="5"/>
    <n v="621.70000000000005"/>
    <n v="0.2"/>
    <n v="2486.8000000000002"/>
    <n v="2131.73"/>
    <n v="355.07"/>
    <s v="Pending"/>
    <x v="2"/>
    <s v="OK"/>
    <s v="OK"/>
    <s v="OK"/>
    <s v="OK"/>
    <n v="2"/>
    <s v="Unique"/>
    <n v="0.2"/>
    <s v="Valid"/>
    <n v="2486.8000000000002"/>
    <x v="356"/>
    <n v="0.1427818883705968"/>
    <x v="2"/>
    <x v="1"/>
    <s v="Clean"/>
  </r>
  <r>
    <s v="ORD-2025-10358"/>
    <d v="2025-01-21T00:00:00"/>
    <d v="2025-01-29T00:00:00"/>
    <s v="CUST-1363"/>
    <s v="Mira Das"/>
    <x v="3"/>
    <x v="2"/>
    <s v="Andhra Pradesh"/>
    <s v="Vijayawada"/>
    <x v="2"/>
    <x v="12"/>
    <s v="Max Machines 770"/>
    <x v="0"/>
    <n v="8"/>
    <n v="546.13"/>
    <n v="0"/>
    <n v="4369.04"/>
    <n v="3716.88"/>
    <n v="652.16"/>
    <s v="Paid"/>
    <x v="1"/>
    <s v="OK"/>
    <s v="OK"/>
    <s v="OK"/>
    <s v="OK"/>
    <n v="8"/>
    <s v="Unique"/>
    <n v="0"/>
    <s v="Valid"/>
    <n v="4369.04"/>
    <x v="357"/>
    <n v="0.14926848918755603"/>
    <x v="10"/>
    <x v="1"/>
    <s v="Clean"/>
  </r>
  <r>
    <s v="ORD-2025-10359"/>
    <d v="2025-08-09T00:00:00"/>
    <d v="2025-08-07T00:00:00"/>
    <s v="CUST-2477"/>
    <s v="Vikram Iyer"/>
    <x v="3"/>
    <x v="3"/>
    <s v="Gujarat"/>
    <s v="Ahmedabad"/>
    <x v="1"/>
    <x v="10"/>
    <s v="Smart Bookcases 134"/>
    <x v="0"/>
    <n v="5"/>
    <n v="1253.92"/>
    <n v="0.05"/>
    <n v="5956.12"/>
    <n v="4379.18"/>
    <n v="1576.94"/>
    <s v="Pending"/>
    <x v="2"/>
    <s v="OK"/>
    <s v="OK"/>
    <s v="OK"/>
    <s v="Invalid: Ship Before Order"/>
    <n v="-2"/>
    <s v="Unique"/>
    <n v="0.05"/>
    <s v="Valid"/>
    <n v="5956.12"/>
    <x v="358"/>
    <n v="0.26475960860425907"/>
    <x v="1"/>
    <x v="1"/>
    <s v="Invalid"/>
  </r>
  <r>
    <s v="ORD-2024-10360"/>
    <d v="2024-08-21T00:00:00"/>
    <d v="2024-08-22T00:00:00"/>
    <s v="CUST-9571"/>
    <s v="Isha Nair"/>
    <x v="0"/>
    <x v="2"/>
    <s v="Tamil Nadu"/>
    <s v="Chennai"/>
    <x v="2"/>
    <x v="11"/>
    <s v="Classic Phones 586"/>
    <x v="1"/>
    <n v="9"/>
    <n v="616.96"/>
    <n v="0.1"/>
    <n v="4997.38"/>
    <n v="2971.39"/>
    <n v="2025.99"/>
    <s v="Paid"/>
    <x v="0"/>
    <s v="OK"/>
    <s v="OK"/>
    <s v="OK"/>
    <s v="OK"/>
    <n v="1"/>
    <s v="Unique"/>
    <n v="0.1"/>
    <s v="Valid"/>
    <n v="4997.3760000000002"/>
    <x v="359"/>
    <n v="0.40540995914656014"/>
    <x v="1"/>
    <x v="0"/>
    <s v="Clean"/>
  </r>
  <r>
    <s v="ORD-2024-10361"/>
    <d v="2024-06-17T00:00:00"/>
    <d v="2024-06-20T00:00:00"/>
    <s v="CUST-3690"/>
    <s v="Sneha Kapoor"/>
    <x v="1"/>
    <x v="3"/>
    <s v="Gujarat"/>
    <s v="Ahmedabad"/>
    <x v="1"/>
    <x v="3"/>
    <s v="Elite Furnishings 634"/>
    <x v="3"/>
    <n v="7"/>
    <n v="3155.25"/>
    <n v="0.2"/>
    <n v="17669.400000000001"/>
    <n v="13718.77"/>
    <n v="3950.63"/>
    <s v="Refunded"/>
    <x v="1"/>
    <s v="OK"/>
    <s v="OK"/>
    <s v="OK"/>
    <s v="OK"/>
    <n v="3"/>
    <s v="Unique"/>
    <n v="0.2"/>
    <s v="Valid"/>
    <n v="17669.400000000001"/>
    <x v="360"/>
    <n v="0.2235859734908939"/>
    <x v="2"/>
    <x v="0"/>
    <s v="Clean"/>
  </r>
  <r>
    <s v="ORD-2025-10362"/>
    <d v="2025-04-01T00:00:00"/>
    <d v="2025-04-02T00:00:00"/>
    <s v="CUST-2909"/>
    <s v="Rohan Mehta"/>
    <x v="2"/>
    <x v="1"/>
    <s v="Odisha"/>
    <s v="Bhubaneswar"/>
    <x v="1"/>
    <x v="4"/>
    <s v="Basic Chairs 113"/>
    <x v="0"/>
    <n v="9"/>
    <n v="4165.58"/>
    <n v="0.05"/>
    <n v="35615.71"/>
    <n v="20389.71"/>
    <n v="15226"/>
    <s v="Pending"/>
    <x v="2"/>
    <s v="OK"/>
    <s v="OK"/>
    <s v="OK"/>
    <s v="OK"/>
    <n v="1"/>
    <s v="Unique"/>
    <n v="0.05"/>
    <s v="Valid"/>
    <n v="35615.709000000003"/>
    <x v="361"/>
    <n v="0.42750795723314122"/>
    <x v="5"/>
    <x v="1"/>
    <s v="Clean"/>
  </r>
  <r>
    <s v="ORD-2024-10363"/>
    <d v="2024-08-23T00:00:00"/>
    <d v="2024-08-25T00:00:00"/>
    <s v="CUST-6755"/>
    <s v="Vikram Iyer"/>
    <x v="0"/>
    <x v="3"/>
    <s v="Goa"/>
    <s v="Panaji"/>
    <x v="2"/>
    <x v="12"/>
    <s v="Elite Machines 216"/>
    <x v="1"/>
    <n v="4"/>
    <n v="491.16"/>
    <n v="0.05"/>
    <n v="1866.41"/>
    <n v="1576.49"/>
    <n v="289.92"/>
    <s v="Paid"/>
    <x v="0"/>
    <s v="OK"/>
    <s v="OK"/>
    <s v="OK"/>
    <s v="OK"/>
    <n v="2"/>
    <s v="Unique"/>
    <n v="0.05"/>
    <s v="Valid"/>
    <n v="1866.4079999999999"/>
    <x v="362"/>
    <n v="0.15533473924243782"/>
    <x v="1"/>
    <x v="0"/>
    <s v="Clean"/>
  </r>
  <r>
    <s v="ORD-2025-10364"/>
    <d v="2025-07-07T00:00:00"/>
    <d v="2025-07-12T00:00:00"/>
    <s v="CUST-1832"/>
    <s v="Diya Patel"/>
    <x v="2"/>
    <x v="1"/>
    <s v="West Bengal"/>
    <s v="Kolkata"/>
    <x v="1"/>
    <x v="1"/>
    <s v="Smart Tables 943"/>
    <x v="0"/>
    <n v="5"/>
    <n v="1831.37"/>
    <n v="0.25"/>
    <n v="6867.64"/>
    <n v="5205.3599999999997"/>
    <n v="1662.28"/>
    <s v="Paid"/>
    <x v="0"/>
    <s v="OK"/>
    <s v="OK"/>
    <s v="OK"/>
    <s v="OK"/>
    <n v="5"/>
    <s v="Unique"/>
    <n v="0.25"/>
    <s v="Valid"/>
    <n v="6867.6374999999989"/>
    <x v="363"/>
    <n v="0.24204502640100028"/>
    <x v="0"/>
    <x v="1"/>
    <s v="Clean"/>
  </r>
  <r>
    <s v="ORD-2025-10365"/>
    <d v="2025-03-21T00:00:00"/>
    <d v="2025-03-24T00:00:00"/>
    <s v="CUST-4452"/>
    <s v="Aarav Sharma"/>
    <x v="1"/>
    <x v="2"/>
    <s v="Andhra Pradesh"/>
    <s v="Vijayawada"/>
    <x v="1"/>
    <x v="4"/>
    <s v="Prime Chairs 101"/>
    <x v="0"/>
    <n v="5"/>
    <n v="1239.1500000000001"/>
    <n v="0"/>
    <n v="6195.75"/>
    <n v="3967.02"/>
    <n v="2228.73"/>
    <s v="Paid"/>
    <x v="0"/>
    <s v="OK"/>
    <s v="OK"/>
    <s v="OK"/>
    <s v="OK"/>
    <n v="3"/>
    <s v="Unique"/>
    <n v="0"/>
    <s v="Valid"/>
    <n v="6195.75"/>
    <x v="364"/>
    <n v="0.35971916232901585"/>
    <x v="11"/>
    <x v="1"/>
    <s v="Clean"/>
  </r>
  <r>
    <s v="ORD-2024-10366"/>
    <d v="2024-06-15T00:00:00"/>
    <d v="2024-06-21T00:00:00"/>
    <s v="CUST-2203"/>
    <s v="Aditi Sen"/>
    <x v="2"/>
    <x v="3"/>
    <s v="Goa"/>
    <s v="Panaji"/>
    <x v="2"/>
    <x v="5"/>
    <s v="Basic Accessories 774"/>
    <x v="2"/>
    <n v="8"/>
    <n v="1706.4"/>
    <m/>
    <n v="12968.64"/>
    <n v="10119.61"/>
    <n v="2849.03"/>
    <s v="Paid"/>
    <x v="0"/>
    <s v="OK"/>
    <s v="OK"/>
    <s v="OK"/>
    <s v="OK"/>
    <n v="6"/>
    <s v="Unique"/>
    <n v="0"/>
    <s v="Missing - Treated as 0"/>
    <n v="13651.2"/>
    <x v="365"/>
    <n v="0.2587017991092358"/>
    <x v="2"/>
    <x v="0"/>
    <s v="Warning"/>
  </r>
  <r>
    <s v="ORD-2025-10367"/>
    <d v="2025-01-16T00:00:00"/>
    <d v="2025-01-22T00:00:00"/>
    <s v="CUST-5397"/>
    <s v="Sneha Kapoor"/>
    <x v="2"/>
    <x v="0"/>
    <s v="Rajasthan"/>
    <s v="Jaipur"/>
    <x v="1"/>
    <x v="1"/>
    <s v="Max Tables 478"/>
    <x v="1"/>
    <n v="2"/>
    <n v="4418.28"/>
    <n v="0"/>
    <n v="8836.56"/>
    <n v="5867.75"/>
    <n v="2968.81"/>
    <s v="Paid"/>
    <x v="0"/>
    <s v="OK"/>
    <s v="OK"/>
    <s v="OK"/>
    <s v="OK"/>
    <n v="6"/>
    <s v="Unique"/>
    <n v="0"/>
    <s v="Valid"/>
    <n v="8836.56"/>
    <x v="366"/>
    <n v="0.33596897435201023"/>
    <x v="10"/>
    <x v="1"/>
    <s v="Clean"/>
  </r>
  <r>
    <s v="ORD-2024-10368"/>
    <d v="2024-03-15T00:00:00"/>
    <d v="2024-03-16T00:00:00"/>
    <s v="CUST-4696"/>
    <s v="Rohan Mehta"/>
    <x v="0"/>
    <x v="0"/>
    <s v="Delhi"/>
    <s v="New Delhi"/>
    <x v="0"/>
    <x v="2"/>
    <s v="Eco Art 646"/>
    <x v="3"/>
    <n v="6"/>
    <n v="3815.09"/>
    <n v="0.15"/>
    <n v="19456.96"/>
    <n v="14520.06"/>
    <n v="4936.8999999999996"/>
    <s v="Failed"/>
    <x v="1"/>
    <s v="OK"/>
    <s v="OK"/>
    <s v="OK"/>
    <s v="OK"/>
    <n v="1"/>
    <s v="Unique"/>
    <n v="0.15"/>
    <s v="Valid"/>
    <n v="19456.958999999999"/>
    <x v="367"/>
    <n v="0.25373435797443988"/>
    <x v="11"/>
    <x v="0"/>
    <s v="Clean"/>
  </r>
  <r>
    <s v="ORD-2025-10369"/>
    <d v="2025-07-06T00:00:00"/>
    <d v="2025-07-06T00:00:00"/>
    <s v="CUST-8246"/>
    <s v="Aarav Sharma"/>
    <x v="3"/>
    <x v="0"/>
    <s v="Rajasthan"/>
    <s v="Jaipur"/>
    <x v="2"/>
    <x v="5"/>
    <s v="Prime Accessories 962"/>
    <x v="1"/>
    <n v="9"/>
    <n v="243.19"/>
    <n v="0.05"/>
    <n v="2079.27"/>
    <n v="1512.17"/>
    <n v="567.1"/>
    <s v="Refunded"/>
    <x v="2"/>
    <s v="OK"/>
    <s v="OK"/>
    <s v="OK"/>
    <s v="OK"/>
    <n v="0"/>
    <s v="Unique"/>
    <n v="0.05"/>
    <s v="Valid"/>
    <n v="2079.2745"/>
    <x v="368"/>
    <n v="0.27274152595051782"/>
    <x v="0"/>
    <x v="1"/>
    <s v="Clean"/>
  </r>
  <r>
    <s v="ORD-2025-10370"/>
    <d v="2025-01-23T00:00:00"/>
    <d v="2025-01-30T00:00:00"/>
    <s v="CUST-5672"/>
    <s v="Priya Menon"/>
    <x v="0"/>
    <x v="0"/>
    <s v="Delhi"/>
    <s v="New Delhi"/>
    <x v="0"/>
    <x v="7"/>
    <s v="Eco Labels 646"/>
    <x v="3"/>
    <n v="9"/>
    <n v="1169.3699999999999"/>
    <n v="0.15"/>
    <n v="8945.68"/>
    <n v="6740.35"/>
    <n v="2205.33"/>
    <s v="Paid"/>
    <x v="0"/>
    <s v="OK"/>
    <s v="OK"/>
    <s v="OK"/>
    <s v="OK"/>
    <n v="7"/>
    <s v="Unique"/>
    <n v="0.15"/>
    <s v="Valid"/>
    <n v="8945.6804999999986"/>
    <x v="369"/>
    <n v="0.24652462157574245"/>
    <x v="10"/>
    <x v="1"/>
    <s v="Clean"/>
  </r>
  <r>
    <s v="ORD-2024-10371"/>
    <d v="2024-08-15T00:00:00"/>
    <d v="2024-08-21T00:00:00"/>
    <s v="CUST-8521"/>
    <s v="Ananya Rao"/>
    <x v="1"/>
    <x v="3"/>
    <s v="Rajasthan"/>
    <s v="Udaipur"/>
    <x v="2"/>
    <x v="6"/>
    <s v="Classic Copiers 505"/>
    <x v="2"/>
    <n v="7"/>
    <n v="2333.81"/>
    <n v="0.2"/>
    <n v="13069.34"/>
    <n v="8768.59"/>
    <n v="4300.75"/>
    <s v="Paid"/>
    <x v="0"/>
    <s v="OK"/>
    <s v="OK"/>
    <s v="OK"/>
    <s v="OK"/>
    <n v="6"/>
    <s v="Unique"/>
    <n v="0.2"/>
    <s v="Valid"/>
    <n v="13069.336000000001"/>
    <x v="370"/>
    <n v="0.32907149988339124"/>
    <x v="1"/>
    <x v="0"/>
    <s v="Clean"/>
  </r>
  <r>
    <s v="ORD-2024-10372"/>
    <d v="2024-01-22T00:00:00"/>
    <d v="2024-01-24T00:00:00"/>
    <s v="CUST-2204"/>
    <s v="Diya Patel"/>
    <x v="3"/>
    <x v="3"/>
    <s v="Maharashtra"/>
    <s v="Mumbai"/>
    <x v="0"/>
    <x v="2"/>
    <s v="Pro Art 906"/>
    <x v="3"/>
    <n v="6"/>
    <n v="1026.06"/>
    <m/>
    <n v="4617.2700000000004"/>
    <n v="2981.94"/>
    <n v="1635.33"/>
    <s v="Refunded"/>
    <x v="1"/>
    <s v="OK"/>
    <s v="OK"/>
    <s v="OK"/>
    <s v="OK"/>
    <n v="2"/>
    <s v="Unique"/>
    <n v="0"/>
    <s v="Missing - Treated as 0"/>
    <n v="6156.36"/>
    <x v="371"/>
    <n v="0.51563261407714944"/>
    <x v="10"/>
    <x v="0"/>
    <s v="Warning"/>
  </r>
  <r>
    <s v="ORD-2025-10373"/>
    <d v="2025-08-16T00:00:00"/>
    <d v="2025-08-18T00:00:00"/>
    <s v="CUST-4399"/>
    <s v="Kabir Singh"/>
    <x v="0"/>
    <x v="1"/>
    <s v="Jharkhand"/>
    <s v="Ranchi"/>
    <x v="1"/>
    <x v="4"/>
    <s v="Max Chairs 181"/>
    <x v="1"/>
    <n v="5"/>
    <n v="1530.36"/>
    <n v="0"/>
    <n v="7651.8"/>
    <n v="5171.78"/>
    <n v="2480.02"/>
    <s v="Paid"/>
    <x v="0"/>
    <s v="OK"/>
    <s v="OK"/>
    <s v="OK"/>
    <s v="OK"/>
    <n v="2"/>
    <s v="Unique"/>
    <n v="0"/>
    <s v="Valid"/>
    <n v="7651.7999999999993"/>
    <x v="372"/>
    <n v="0.32410935988917638"/>
    <x v="1"/>
    <x v="1"/>
    <s v="Clean"/>
  </r>
  <r>
    <s v="ORD-2025-10374"/>
    <d v="2025-04-13T00:00:00"/>
    <d v="2025-04-13T00:00:00"/>
    <s v="CUST-8566"/>
    <s v="Sneha Kapoor"/>
    <x v="1"/>
    <x v="0"/>
    <s v="Uttar Pradesh"/>
    <s v="Noida"/>
    <x v="0"/>
    <x v="8"/>
    <s v="Prime Storage 951"/>
    <x v="0"/>
    <n v="9"/>
    <n v="1118.68"/>
    <n v="0"/>
    <n v="10068.120000000001"/>
    <n v="8595.3700000000008"/>
    <n v="1472.75"/>
    <s v="Paid"/>
    <x v="0"/>
    <s v="OK"/>
    <s v="OK"/>
    <s v="OK"/>
    <s v="OK"/>
    <n v="0"/>
    <s v="Conflicting Duplicate - Manual Review Required"/>
    <n v="0"/>
    <s v="Valid"/>
    <n v="10068.120000000001"/>
    <x v="373"/>
    <n v="0.14627855051389932"/>
    <x v="5"/>
    <x v="1"/>
    <s v="Invalid"/>
  </r>
  <r>
    <s v="ORD-2025-10375"/>
    <d v="2025-02-27T00:00:00"/>
    <d v="2025-02-28T00:00:00"/>
    <s v="CUST-2358"/>
    <s v="Aditi Sen"/>
    <x v="1"/>
    <x v="0"/>
    <s v="Uttar Pradesh"/>
    <s v="Noida"/>
    <x v="0"/>
    <x v="7"/>
    <s v="Smart Labels 668"/>
    <x v="3"/>
    <n v="6"/>
    <n v="2393.25"/>
    <n v="0"/>
    <n v="14359.5"/>
    <n v="8117.71"/>
    <n v="6241.79"/>
    <s v="Paid"/>
    <x v="0"/>
    <s v="OK"/>
    <s v="OK"/>
    <s v="OK"/>
    <s v="OK"/>
    <n v="1"/>
    <s v="Unique"/>
    <n v="0"/>
    <s v="Valid"/>
    <n v="14359.5"/>
    <x v="374"/>
    <n v="0.43468017688638183"/>
    <x v="6"/>
    <x v="1"/>
    <s v="Clean"/>
  </r>
  <r>
    <s v="ORD-2024-10376"/>
    <d v="2024-12-31T00:00:00"/>
    <d v="2025-01-04T00:00:00"/>
    <s v="CUST-2810"/>
    <s v="Vikram Iyer"/>
    <x v="0"/>
    <x v="0"/>
    <s v="Delhi"/>
    <s v="New Delhi"/>
    <x v="1"/>
    <x v="4"/>
    <s v="Pro Chairs 364"/>
    <x v="1"/>
    <n v="3"/>
    <n v="1166.6099999999999"/>
    <n v="0.25"/>
    <n v="2624.87"/>
    <n v="2253.88"/>
    <n v="370.99"/>
    <s v="Paid"/>
    <x v="0"/>
    <s v="OK"/>
    <s v="OK"/>
    <s v="OK"/>
    <s v="OK"/>
    <n v="4"/>
    <s v="Unique"/>
    <n v="0.25"/>
    <s v="Valid"/>
    <n v="2624.8724999999999"/>
    <x v="375"/>
    <n v="0.14133734114704613"/>
    <x v="8"/>
    <x v="0"/>
    <s v="Clean"/>
  </r>
  <r>
    <s v="ORD-2024-10377"/>
    <d v="2024-12-29T00:00:00"/>
    <d v="2024-12-31T00:00:00"/>
    <s v="CUST-5166"/>
    <s v="Isha Nair"/>
    <x v="1"/>
    <x v="1"/>
    <s v="Bihar"/>
    <s v="Patna"/>
    <x v="1"/>
    <x v="4"/>
    <s v="Basic Chairs 248"/>
    <x v="2"/>
    <n v="6"/>
    <n v="1844.78"/>
    <n v="0.2"/>
    <n v="8854.94"/>
    <n v="7433.95"/>
    <n v="1420.99"/>
    <s v="Paid"/>
    <x v="0"/>
    <s v="OK"/>
    <s v="OK"/>
    <s v="OK"/>
    <s v="OK"/>
    <n v="2"/>
    <s v="Unique"/>
    <n v="0.2"/>
    <s v="Valid"/>
    <n v="8854.9440000000013"/>
    <x v="376"/>
    <n v="0.1604746455765278"/>
    <x v="8"/>
    <x v="0"/>
    <s v="Clean"/>
  </r>
  <r>
    <s v="ORD-2025-10378"/>
    <d v="2025-05-24T00:00:00"/>
    <d v="2025-05-30T00:00:00"/>
    <s v="CUST-4875"/>
    <s v="Kabir Singh"/>
    <x v="1"/>
    <x v="1"/>
    <s v="Odisha"/>
    <s v="Bhubaneswar"/>
    <x v="0"/>
    <x v="8"/>
    <s v="Basic Storage 360"/>
    <x v="1"/>
    <n v="1"/>
    <n v="2564.7399999999998"/>
    <n v="0"/>
    <n v="2564.7399999999998"/>
    <n v="1754.58"/>
    <n v="810.16"/>
    <s v="Paid"/>
    <x v="0"/>
    <s v="OK"/>
    <s v="OK"/>
    <s v="OK"/>
    <s v="OK"/>
    <n v="6"/>
    <s v="Unique"/>
    <n v="0"/>
    <s v="Valid"/>
    <n v="2564.7399999999998"/>
    <x v="377"/>
    <n v="0.31588387126960232"/>
    <x v="4"/>
    <x v="1"/>
    <s v="Clean"/>
  </r>
  <r>
    <s v="ORD-2025-10379"/>
    <d v="2025-05-22T00:00:00"/>
    <d v="2025-05-22T00:00:00"/>
    <s v="CUST-3154"/>
    <s v="Mira Das"/>
    <x v="0"/>
    <x v="3"/>
    <s v="Goa"/>
    <s v="Panaji"/>
    <x v="2"/>
    <x v="5"/>
    <s v="Basic Accessories 988"/>
    <x v="3"/>
    <n v="2"/>
    <n v="3910.61"/>
    <n v="0"/>
    <n v="7821.22"/>
    <n v="4994.46"/>
    <n v="2826.76"/>
    <s v="Paid"/>
    <x v="0"/>
    <s v="OK"/>
    <s v="OK"/>
    <s v="OK"/>
    <s v="OK"/>
    <n v="0"/>
    <s v="Unique"/>
    <n v="0"/>
    <s v="Valid"/>
    <n v="7821.22"/>
    <x v="378"/>
    <n v="0.36142187535959863"/>
    <x v="4"/>
    <x v="1"/>
    <s v="Clean"/>
  </r>
  <r>
    <s v="ORD-2024-10380"/>
    <d v="2024-09-19T00:00:00"/>
    <d v="2024-09-23T00:00:00"/>
    <s v="CUST-6405"/>
    <s v="Mira Das"/>
    <x v="1"/>
    <x v="2"/>
    <s v="Kerala"/>
    <s v="Kochi"/>
    <x v="0"/>
    <x v="0"/>
    <s v="Max Paper 334"/>
    <x v="3"/>
    <n v="7"/>
    <n v="1136.68"/>
    <m/>
    <n v="7956.76"/>
    <n v="4799.54"/>
    <n v="3157.22"/>
    <s v="Paid"/>
    <x v="0"/>
    <s v="OK"/>
    <s v="OK"/>
    <s v="OK"/>
    <s v="OK"/>
    <n v="4"/>
    <s v="Unique"/>
    <n v="0"/>
    <s v="Missing - Treated as 0"/>
    <n v="7956.76"/>
    <x v="379"/>
    <n v="0.39679718880549369"/>
    <x v="7"/>
    <x v="0"/>
    <s v="Warning"/>
  </r>
  <r>
    <s v="ORD-2024-10381"/>
    <d v="2024-04-07T00:00:00"/>
    <d v="2024-04-14T00:00:00"/>
    <s v="CUST-5779"/>
    <s v="Vikram Iyer"/>
    <x v="0"/>
    <x v="3"/>
    <s v="Maharashtra"/>
    <s v="Mumbai"/>
    <x v="1"/>
    <x v="10"/>
    <s v="Prime Bookcases 952"/>
    <x v="1"/>
    <n v="5"/>
    <n v="2235.85"/>
    <n v="0.25"/>
    <n v="8384.44"/>
    <n v="4765.96"/>
    <n v="3618.48"/>
    <s v="Paid"/>
    <x v="2"/>
    <s v="OK"/>
    <s v="OK"/>
    <s v="OK"/>
    <s v="OK"/>
    <n v="7"/>
    <s v="Unique"/>
    <n v="0.25"/>
    <s v="Valid"/>
    <n v="8384.4375"/>
    <x v="380"/>
    <n v="0.43157069272685256"/>
    <x v="5"/>
    <x v="0"/>
    <s v="Clean"/>
  </r>
  <r>
    <s v="ORD-2025-10382"/>
    <d v="2025-09-19T00:00:00"/>
    <d v="2025-09-23T00:00:00"/>
    <s v="CUST-9943"/>
    <s v="Arjun Bose"/>
    <x v="3"/>
    <x v="0"/>
    <s v="Delhi"/>
    <s v="New Delhi"/>
    <x v="0"/>
    <x v="9"/>
    <s v="Prime Binders 523"/>
    <x v="3"/>
    <n v="4"/>
    <n v="4387.1499999999996"/>
    <n v="0.05"/>
    <n v="16671.169999999998"/>
    <n v="10833.19"/>
    <n v="5837.98"/>
    <s v="Failed"/>
    <x v="1"/>
    <s v="OK"/>
    <s v="OK"/>
    <s v="OK"/>
    <s v="OK"/>
    <n v="4"/>
    <s v="Unique"/>
    <n v="0.05"/>
    <s v="Valid"/>
    <n v="16671.169999999998"/>
    <x v="381"/>
    <n v="0.35018418023450054"/>
    <x v="7"/>
    <x v="1"/>
    <s v="Clean"/>
  </r>
  <r>
    <s v="ORD-2025-10383"/>
    <d v="2025-03-04T00:00:00"/>
    <d v="2025-03-08T00:00:00"/>
    <s v="CUST-7098"/>
    <s v="Arjun Bose"/>
    <x v="1"/>
    <x v="1"/>
    <s v="Bihar"/>
    <s v="Patna"/>
    <x v="2"/>
    <x v="11"/>
    <s v="Pro Phones 538"/>
    <x v="2"/>
    <n v="3"/>
    <n v="4361.8500000000004"/>
    <n v="0.2"/>
    <n v="10468.44"/>
    <n v="8399.8700000000008"/>
    <n v="2068.5700000000002"/>
    <s v="Paid"/>
    <x v="0"/>
    <s v="OK"/>
    <s v="OK"/>
    <s v="OK"/>
    <s v="OK"/>
    <n v="4"/>
    <s v="Unique"/>
    <n v="0.2"/>
    <s v="Valid"/>
    <n v="10468.440000000002"/>
    <x v="382"/>
    <n v="0.19760059760575607"/>
    <x v="11"/>
    <x v="1"/>
    <s v="Clean"/>
  </r>
  <r>
    <s v="ORD-2025-10384"/>
    <d v="2025-06-28T00:00:00"/>
    <d v="2025-07-05T00:00:00"/>
    <s v="CUST-7438"/>
    <s v="Vikram Iyer"/>
    <x v="2"/>
    <x v="1"/>
    <s v="West Bengal"/>
    <s v="Kolkata"/>
    <x v="0"/>
    <x v="2"/>
    <s v="Basic Art 608"/>
    <x v="2"/>
    <n v="2"/>
    <n v="2242.75"/>
    <n v="0"/>
    <n v="4485.5"/>
    <n v="3131.86"/>
    <n v="1353.64"/>
    <s v="Paid"/>
    <x v="1"/>
    <s v="OK"/>
    <s v="OK"/>
    <s v="OK"/>
    <s v="OK"/>
    <n v="7"/>
    <s v="Unique"/>
    <n v="0"/>
    <s v="Valid"/>
    <n v="4485.5"/>
    <x v="383"/>
    <n v="0.30178129528480657"/>
    <x v="2"/>
    <x v="1"/>
    <s v="Clean"/>
  </r>
  <r>
    <s v="ORD-2024-10385"/>
    <d v="2024-03-15T00:00:00"/>
    <d v="2024-03-20T00:00:00"/>
    <s v="CUST-8432"/>
    <s v="Rohan Mehta"/>
    <x v="0"/>
    <x v="1"/>
    <s v="Jharkhand"/>
    <s v="Ranchi"/>
    <x v="2"/>
    <x v="6"/>
    <s v="Prime Copiers 820"/>
    <x v="3"/>
    <n v="2"/>
    <n v="1881.4"/>
    <n v="0.25"/>
    <n v="2822.1"/>
    <n v="1624.57"/>
    <n v="1197.53"/>
    <s v="Paid"/>
    <x v="2"/>
    <s v="OK"/>
    <s v="OK"/>
    <s v="OK"/>
    <s v="OK"/>
    <n v="5"/>
    <s v="Unique"/>
    <n v="0.25"/>
    <s v="Valid"/>
    <n v="2822.1000000000004"/>
    <x v="384"/>
    <n v="0.42434003047376079"/>
    <x v="11"/>
    <x v="0"/>
    <s v="Clean"/>
  </r>
  <r>
    <s v="ORD-2025-10386"/>
    <d v="2025-06-24T00:00:00"/>
    <d v="2025-06-30T00:00:00"/>
    <s v="CUST-2834"/>
    <s v="Arjun Bose"/>
    <x v="0"/>
    <x v="0"/>
    <s v="Haryana"/>
    <s v="Gurugram"/>
    <x v="0"/>
    <x v="7"/>
    <s v="Classic Labels 670"/>
    <x v="3"/>
    <n v="6"/>
    <n v="365.76"/>
    <n v="0.1"/>
    <n v="1975.1"/>
    <n v="1115.3499999999999"/>
    <n v="859.75"/>
    <s v="Paid"/>
    <x v="0"/>
    <s v="OK"/>
    <s v="OK"/>
    <s v="OK"/>
    <s v="OK"/>
    <n v="6"/>
    <s v="Unique"/>
    <n v="0.1"/>
    <s v="Valid"/>
    <n v="1975.104"/>
    <x v="385"/>
    <n v="0.4352955591199249"/>
    <x v="2"/>
    <x v="1"/>
    <s v="Clean"/>
  </r>
  <r>
    <s v="ORD-2025-10387"/>
    <d v="2025-02-12T00:00:00"/>
    <d v="2025-02-14T00:00:00"/>
    <s v="CUST-4222"/>
    <s v="Sneha Kapoor"/>
    <x v="0"/>
    <x v="3"/>
    <s v="Maharashtra"/>
    <s v="Mumbai"/>
    <x v="1"/>
    <x v="3"/>
    <s v="Prime Furnishings 597"/>
    <x v="0"/>
    <n v="8"/>
    <n v="2786.66"/>
    <n v="0.1"/>
    <n v="20063.95"/>
    <n v="14363.38"/>
    <n v="5700.57"/>
    <s v="Paid"/>
    <x v="0"/>
    <s v="OK"/>
    <s v="OK"/>
    <s v="OK"/>
    <s v="OK"/>
    <n v="2"/>
    <s v="Unique"/>
    <n v="0.1"/>
    <s v="Valid"/>
    <n v="20063.952000000001"/>
    <x v="386"/>
    <n v="0.2841200975759911"/>
    <x v="6"/>
    <x v="1"/>
    <s v="Clean"/>
  </r>
  <r>
    <s v="ORD-2025-10388"/>
    <d v="2025-08-10T00:00:00"/>
    <d v="2025-08-13T00:00:00"/>
    <s v="CUST-1053"/>
    <s v="Priya Menon"/>
    <x v="1"/>
    <x v="3"/>
    <s v="Madhya Pradesh"/>
    <s v="Indore"/>
    <x v="1"/>
    <x v="4"/>
    <s v="Prime Chairs 196"/>
    <x v="3"/>
    <n v="5"/>
    <n v="352.86"/>
    <n v="0"/>
    <n v="1764.3"/>
    <n v="1332.49"/>
    <n v="431.81"/>
    <s v="Pending"/>
    <x v="1"/>
    <s v="OK"/>
    <s v="OK"/>
    <s v="OK"/>
    <s v="OK"/>
    <n v="3"/>
    <s v="Unique"/>
    <n v="0"/>
    <s v="Valid"/>
    <n v="1764.3000000000002"/>
    <x v="387"/>
    <n v="0.24474862551720236"/>
    <x v="1"/>
    <x v="1"/>
    <s v="Clean"/>
  </r>
  <r>
    <s v="ORD-2024-10389"/>
    <d v="2024-05-13T00:00:00"/>
    <d v="2024-05-18T00:00:00"/>
    <s v="CUST-1457"/>
    <s v="Isha Nair"/>
    <x v="1"/>
    <x v="3"/>
    <s v="Gujarat"/>
    <s v="Ahmedabad"/>
    <x v="1"/>
    <x v="4"/>
    <s v="Elite Chairs 639"/>
    <x v="3"/>
    <n v="3"/>
    <n v="3128.59"/>
    <n v="0"/>
    <n v="9385.77"/>
    <n v="6872.44"/>
    <n v="2783.66"/>
    <s v="Paid"/>
    <x v="0"/>
    <s v="OK"/>
    <s v="OK"/>
    <s v="OK"/>
    <s v="OK"/>
    <n v="5"/>
    <s v="Unique"/>
    <n v="0"/>
    <s v="Valid"/>
    <n v="9385.77"/>
    <x v="388"/>
    <n v="0.26778090662779941"/>
    <x v="4"/>
    <x v="0"/>
    <s v="Clean"/>
  </r>
  <r>
    <s v="ORD-2024-10390"/>
    <d v="2024-04-05T00:00:00"/>
    <d v="2024-04-13T00:00:00"/>
    <s v="CUST-3930"/>
    <s v="Diya Patel"/>
    <x v="2"/>
    <x v="3"/>
    <s v="Gujarat"/>
    <s v="Ahmedabad"/>
    <x v="2"/>
    <x v="12"/>
    <s v="Elite Machines 563"/>
    <x v="0"/>
    <n v="5"/>
    <n v="1937.54"/>
    <n v="0.2"/>
    <n v="7750.16"/>
    <n v="5434.3"/>
    <n v="2315.86"/>
    <s v="Pending"/>
    <x v="1"/>
    <s v="OK"/>
    <s v="OK"/>
    <s v="OK"/>
    <s v="OK"/>
    <n v="8"/>
    <s v="Unique"/>
    <n v="0.2"/>
    <s v="Valid"/>
    <n v="7750.1600000000008"/>
    <x v="389"/>
    <n v="0.29881447608823564"/>
    <x v="5"/>
    <x v="0"/>
    <s v="Clean"/>
  </r>
  <r>
    <s v="ORD-2024-10391"/>
    <d v="2024-11-06T00:00:00"/>
    <d v="2024-11-11T00:00:00"/>
    <s v="CUST-7853"/>
    <s v="Isha Nair"/>
    <x v="0"/>
    <x v="3"/>
    <s v="Gujarat"/>
    <s v="Ahmedabad"/>
    <x v="1"/>
    <x v="3"/>
    <s v="Pro Furnishings 281"/>
    <x v="3"/>
    <n v="4"/>
    <n v="1917.26"/>
    <n v="0.2"/>
    <n v="6135.23"/>
    <n v="3439.79"/>
    <n v="2695.44"/>
    <s v="Paid"/>
    <x v="0"/>
    <s v="OK"/>
    <s v="OK"/>
    <s v="OK"/>
    <s v="OK"/>
    <n v="5"/>
    <s v="Unique"/>
    <n v="0.2"/>
    <s v="Valid"/>
    <n v="6135.232"/>
    <x v="390"/>
    <n v="0.43933823529411764"/>
    <x v="3"/>
    <x v="0"/>
    <s v="Clean"/>
  </r>
  <r>
    <s v="ORD-2025-10392"/>
    <d v="2025-02-14T00:00:00"/>
    <d v="2025-02-14T00:00:00"/>
    <s v="CUST-2267"/>
    <s v="Diya Patel"/>
    <x v="0"/>
    <x v="2"/>
    <s v="Karnataka"/>
    <s v="Bengaluru"/>
    <x v="0"/>
    <x v="8"/>
    <s v="Eco Storage 285"/>
    <x v="2"/>
    <n v="1"/>
    <n v="714.43"/>
    <n v="0"/>
    <n v="714.43"/>
    <n v="565.44000000000005"/>
    <n v="148.99"/>
    <s v="Paid"/>
    <x v="0"/>
    <s v="OK"/>
    <s v="OK"/>
    <s v="OK"/>
    <s v="OK"/>
    <n v="0"/>
    <s v="Unique"/>
    <n v="0"/>
    <s v="Valid"/>
    <n v="714.43"/>
    <x v="391"/>
    <n v="0.20854387413742412"/>
    <x v="6"/>
    <x v="1"/>
    <s v="Clean"/>
  </r>
  <r>
    <s v="ORD-2024-10393"/>
    <d v="2024-02-19T00:00:00"/>
    <d v="2024-02-22T00:00:00"/>
    <s v="CUST-6866"/>
    <s v="Aditi Sen"/>
    <x v="1"/>
    <x v="2"/>
    <s v="Kerala"/>
    <s v="Kochi"/>
    <x v="1"/>
    <x v="3"/>
    <s v="Classic Furnishings 746"/>
    <x v="1"/>
    <n v="9"/>
    <n v="4053.01"/>
    <n v="0"/>
    <n v="36477.089999999997"/>
    <n v="24525.48"/>
    <n v="11951.61"/>
    <s v="Paid"/>
    <x v="0"/>
    <s v="OK"/>
    <s v="OK"/>
    <s v="OK"/>
    <s v="OK"/>
    <n v="3"/>
    <s v="Unique"/>
    <n v="0"/>
    <s v="Valid"/>
    <n v="36477.090000000004"/>
    <x v="392"/>
    <n v="0.32764702447481425"/>
    <x v="6"/>
    <x v="0"/>
    <s v="Clean"/>
  </r>
  <r>
    <s v="ORD-2024-10394"/>
    <d v="2024-08-23T00:00:00"/>
    <d v="2024-08-29T00:00:00"/>
    <s v="CUST-3160"/>
    <s v="Mira Das"/>
    <x v="2"/>
    <x v="0"/>
    <s v="Uttar Pradesh"/>
    <s v="Noida"/>
    <x v="0"/>
    <x v="7"/>
    <s v="Eco Labels 815"/>
    <x v="1"/>
    <n v="2"/>
    <n v="1936.91"/>
    <n v="0.05"/>
    <n v="3680.13"/>
    <n v="2967.46"/>
    <n v="712.67"/>
    <s v="Paid"/>
    <x v="0"/>
    <s v="OK"/>
    <s v="OK"/>
    <s v="OK"/>
    <s v="OK"/>
    <n v="6"/>
    <s v="Unique"/>
    <n v="0.05"/>
    <s v="Valid"/>
    <n v="3680.1289999999999"/>
    <x v="393"/>
    <n v="0.19365326595888346"/>
    <x v="1"/>
    <x v="0"/>
    <s v="Clean"/>
  </r>
  <r>
    <s v="ORD-2024-10395"/>
    <d v="2024-04-03T00:00:00"/>
    <d v="2024-04-04T00:00:00"/>
    <s v="CUST-8444"/>
    <s v="Kabir Singh"/>
    <x v="0"/>
    <x v="3"/>
    <s v="Maharashtra"/>
    <s v="Mumbai"/>
    <x v="1"/>
    <x v="3"/>
    <s v="Prime Furnishings 879"/>
    <x v="2"/>
    <n v="7"/>
    <n v="3945.21"/>
    <n v="0"/>
    <n v="27616.47"/>
    <n v="21225.26"/>
    <n v="6391.21"/>
    <s v="Paid"/>
    <x v="0"/>
    <s v="OK"/>
    <s v="OK"/>
    <s v="OK"/>
    <s v="OK"/>
    <n v="1"/>
    <s v="Unique"/>
    <n v="0"/>
    <s v="Valid"/>
    <n v="27616.47"/>
    <x v="394"/>
    <n v="0.23142747787823725"/>
    <x v="5"/>
    <x v="0"/>
    <s v="Clean"/>
  </r>
  <r>
    <s v="ORD-2024-10396"/>
    <d v="2024-06-06T00:00:00"/>
    <d v="2024-06-07T00:00:00"/>
    <s v="CUST-4765"/>
    <s v="Rahul Verma"/>
    <x v="3"/>
    <x v="2"/>
    <s v="Tamil Nadu"/>
    <s v="Chennai"/>
    <x v="1"/>
    <x v="1"/>
    <s v="Pro Tables 142"/>
    <x v="1"/>
    <n v="7"/>
    <n v="861.91"/>
    <n v="0.05"/>
    <n v="5731.7"/>
    <n v="4115.5600000000004"/>
    <n v="1616.14"/>
    <s v="Paid"/>
    <x v="0"/>
    <s v="OK"/>
    <s v="OK"/>
    <s v="OK"/>
    <s v="OK"/>
    <n v="1"/>
    <s v="Unique"/>
    <n v="0.05"/>
    <s v="Valid"/>
    <n v="5731.7014999999992"/>
    <x v="395"/>
    <n v="0.28196539893084088"/>
    <x v="2"/>
    <x v="0"/>
    <s v="Clean"/>
  </r>
  <r>
    <s v="ORD-2025-10397"/>
    <d v="2025-04-14T00:00:00"/>
    <d v="2025-04-22T00:00:00"/>
    <s v="CUST-2280"/>
    <s v="Aditi Sen"/>
    <x v="1"/>
    <x v="2"/>
    <s v="Karnataka"/>
    <s v="Bengaluru"/>
    <x v="2"/>
    <x v="12"/>
    <s v="Prime Machines 267"/>
    <x v="3"/>
    <n v="2"/>
    <n v="638.73"/>
    <n v="0.05"/>
    <n v="1213.5899999999999"/>
    <n v="956.22"/>
    <n v="257.37"/>
    <s v="Paid"/>
    <x v="0"/>
    <s v="OK"/>
    <s v="OK"/>
    <s v="OK"/>
    <s v="OK"/>
    <n v="8"/>
    <s v="Unique"/>
    <n v="0.05"/>
    <s v="Valid"/>
    <n v="1213.587"/>
    <x v="396"/>
    <n v="0.21207132245154239"/>
    <x v="5"/>
    <x v="1"/>
    <s v="Clean"/>
  </r>
  <r>
    <s v="ORD-2025-10398"/>
    <d v="2025-06-09T00:00:00"/>
    <d v="2025-06-10T00:00:00"/>
    <s v="CUST-3177"/>
    <s v="Sneha Kapoor"/>
    <x v="1"/>
    <x v="0"/>
    <s v="Uttar Pradesh"/>
    <s v="Noida"/>
    <x v="1"/>
    <x v="1"/>
    <s v="Eco Tables 378"/>
    <x v="0"/>
    <n v="2"/>
    <n v="1731.88"/>
    <n v="0"/>
    <n v="3463.76"/>
    <n v="2143.7399999999998"/>
    <n v="1320.02"/>
    <s v="Paid"/>
    <x v="0"/>
    <s v="OK"/>
    <s v="OK"/>
    <s v="OK"/>
    <s v="OK"/>
    <n v="1"/>
    <s v="Unique"/>
    <n v="0"/>
    <s v="Valid"/>
    <n v="3463.76"/>
    <x v="397"/>
    <n v="0.38109453310852959"/>
    <x v="2"/>
    <x v="1"/>
    <s v="Clean"/>
  </r>
  <r>
    <s v="ORD-2024-10399"/>
    <d v="2024-07-19T00:00:00"/>
    <d v="2024-07-26T00:00:00"/>
    <s v="CUST-4718"/>
    <s v="Vikram Iyer"/>
    <x v="2"/>
    <x v="0"/>
    <s v="Punjab"/>
    <s v="Ludhiana"/>
    <x v="2"/>
    <x v="12"/>
    <s v="Elite Machines 523"/>
    <x v="1"/>
    <n v="2"/>
    <n v="1263.6500000000001"/>
    <n v="0.2"/>
    <n v="2021.84"/>
    <n v="1355.22"/>
    <n v="666.62"/>
    <s v="Paid"/>
    <x v="0"/>
    <s v="OK"/>
    <s v="OK"/>
    <s v="OK"/>
    <s v="OK"/>
    <n v="7"/>
    <s v="Unique"/>
    <n v="0.2"/>
    <s v="Valid"/>
    <n v="2021.8400000000001"/>
    <x v="398"/>
    <n v="0.32970957147944452"/>
    <x v="0"/>
    <x v="0"/>
    <s v="Clean"/>
  </r>
  <r>
    <s v="ORD-2025-10400"/>
    <d v="2025-04-24T00:00:00"/>
    <d v="2025-04-29T00:00:00"/>
    <s v="CUST-5647"/>
    <s v="Diya Patel"/>
    <x v="1"/>
    <x v="2"/>
    <s v="Andhra Pradesh"/>
    <s v="Vijayawada"/>
    <x v="0"/>
    <x v="0"/>
    <s v="Elite Paper 308"/>
    <x v="1"/>
    <n v="1"/>
    <n v="4358.5"/>
    <n v="0.25"/>
    <n v="3268.88"/>
    <n v="1993.74"/>
    <n v="1275.1400000000001"/>
    <s v="Paid"/>
    <x v="0"/>
    <s v="OK"/>
    <s v="OK"/>
    <s v="OK"/>
    <s v="OK"/>
    <n v="5"/>
    <s v="Unique"/>
    <n v="0.25"/>
    <s v="Valid"/>
    <n v="3268.875"/>
    <x v="399"/>
    <n v="0.39008374440747962"/>
    <x v="5"/>
    <x v="1"/>
    <s v="Clean"/>
  </r>
  <r>
    <s v="ORD-2025-10401"/>
    <d v="2025-06-06T00:00:00"/>
    <d v="2025-06-11T00:00:00"/>
    <s v="CUST-7150"/>
    <s v="Sneha Kapoor"/>
    <x v="1"/>
    <x v="0"/>
    <s v="Uttar Pradesh"/>
    <s v="Noida"/>
    <x v="0"/>
    <x v="0"/>
    <s v="Prime Paper 851"/>
    <x v="1"/>
    <n v="7"/>
    <n v="878.09"/>
    <n v="-0.1"/>
    <n v="5839.3"/>
    <n v="4877.38"/>
    <n v="961.92"/>
    <s v="Paid"/>
    <x v="0"/>
    <s v="OK"/>
    <s v="OK"/>
    <s v="OK"/>
    <s v="OK"/>
    <n v="5"/>
    <s v="Unique"/>
    <n v="-0.1"/>
    <s v="Invalid: Negative Discount"/>
    <n v="6761.2930000000006"/>
    <x v="400"/>
    <n v="0.27863206046535777"/>
    <x v="2"/>
    <x v="1"/>
    <s v="Invalid"/>
  </r>
  <r>
    <s v="ORD-2025-10402"/>
    <d v="2025-03-09T00:00:00"/>
    <d v="2025-03-16T00:00:00"/>
    <s v="CUST-6694"/>
    <s v="Arjun Bose"/>
    <x v="1"/>
    <x v="1"/>
    <s v="Jharkhand"/>
    <s v="Ranchi"/>
    <x v="1"/>
    <x v="1"/>
    <s v="Classic Tables 151"/>
    <x v="1"/>
    <n v="3"/>
    <n v="2625.85"/>
    <n v="0"/>
    <n v="7877.55"/>
    <n v="5562.77"/>
    <n v="2314.7800000000002"/>
    <s v="Paid"/>
    <x v="0"/>
    <s v="OK"/>
    <s v="OK"/>
    <s v="OK"/>
    <s v="OK"/>
    <n v="7"/>
    <s v="Unique"/>
    <n v="0"/>
    <s v="Valid"/>
    <n v="7877.5499999999993"/>
    <x v="401"/>
    <n v="0.29384516759652418"/>
    <x v="11"/>
    <x v="1"/>
    <s v="Clean"/>
  </r>
  <r>
    <s v="ORD-2024-10403"/>
    <d v="2024-03-22T00:00:00"/>
    <d v="2024-03-22T00:00:00"/>
    <s v="CUST-7680"/>
    <s v="Priya Menon"/>
    <x v="1"/>
    <x v="2"/>
    <s v="Karnataka"/>
    <s v="Bengaluru"/>
    <x v="1"/>
    <x v="1"/>
    <s v="Smart Tables 829"/>
    <x v="4"/>
    <n v="3"/>
    <n v="1365.26"/>
    <n v="0"/>
    <n v="4095.78"/>
    <n v="2807.77"/>
    <n v="1288.01"/>
    <s v="Paid"/>
    <x v="0"/>
    <s v="OK"/>
    <s v="OK"/>
    <s v="OK"/>
    <s v="OK"/>
    <n v="0"/>
    <s v="Unique"/>
    <n v="0"/>
    <s v="Valid"/>
    <n v="4095.7799999999997"/>
    <x v="402"/>
    <n v="0.31447245701673426"/>
    <x v="11"/>
    <x v="0"/>
    <s v="Warning"/>
  </r>
  <r>
    <s v="ORD-2024-10404"/>
    <d v="2024-09-30T00:00:00"/>
    <d v="2024-10-04T00:00:00"/>
    <s v="CUST-2700"/>
    <s v="Arjun Bose"/>
    <x v="1"/>
    <x v="2"/>
    <s v="Kerala"/>
    <s v="Kochi"/>
    <x v="0"/>
    <x v="0"/>
    <s v="Classic Paper 237"/>
    <x v="1"/>
    <n v="5"/>
    <n v="3512.25"/>
    <n v="0.05"/>
    <n v="16683.189999999999"/>
    <n v="10301.16"/>
    <n v="6382.03"/>
    <s v="Paid"/>
    <x v="2"/>
    <s v="OK"/>
    <s v="OK"/>
    <s v="OK"/>
    <s v="OK"/>
    <n v="4"/>
    <s v="Unique"/>
    <n v="0.05"/>
    <s v="Valid"/>
    <n v="16683.1875"/>
    <x v="403"/>
    <n v="0.38254245479168775"/>
    <x v="7"/>
    <x v="0"/>
    <s v="Clean"/>
  </r>
  <r>
    <s v="ORD-2024-10405"/>
    <d v="2024-01-27T00:00:00"/>
    <d v="2024-02-03T00:00:00"/>
    <s v="CUST-2904"/>
    <s v="Aditi Sen"/>
    <x v="2"/>
    <x v="3"/>
    <s v="Rajasthan"/>
    <s v="Udaipur"/>
    <x v="1"/>
    <x v="4"/>
    <s v="Prime Chairs 891"/>
    <x v="1"/>
    <n v="3"/>
    <n v="359.61"/>
    <n v="0"/>
    <n v="1078.83"/>
    <n v="926.35"/>
    <n v="152.47999999999999"/>
    <s v="Paid"/>
    <x v="0"/>
    <s v="OK"/>
    <s v="OK"/>
    <s v="OK"/>
    <s v="OK"/>
    <n v="7"/>
    <s v="Unique"/>
    <n v="0"/>
    <s v="Valid"/>
    <n v="1078.83"/>
    <x v="404"/>
    <n v="0.14133830167867034"/>
    <x v="10"/>
    <x v="0"/>
    <s v="Clean"/>
  </r>
  <r>
    <s v="ORD-2024-10406"/>
    <d v="2024-09-23T00:00:00"/>
    <d v="2024-09-24T00:00:00"/>
    <s v="CUST-9961"/>
    <s v="Aditi Sen"/>
    <x v="3"/>
    <x v="3"/>
    <s v="Gujarat"/>
    <s v="Ahmedabad"/>
    <x v="1"/>
    <x v="10"/>
    <s v="Max Bookcases 812"/>
    <x v="4"/>
    <n v="7"/>
    <n v="3878.01"/>
    <n v="0.1"/>
    <n v="24431.46"/>
    <n v="18202.36"/>
    <n v="6229.1"/>
    <s v="Paid"/>
    <x v="0"/>
    <s v="OK"/>
    <s v="OK"/>
    <s v="OK"/>
    <s v="OK"/>
    <n v="1"/>
    <s v="Unique"/>
    <n v="0.1"/>
    <s v="Valid"/>
    <n v="24431.463"/>
    <x v="405"/>
    <n v="0.25496234097810677"/>
    <x v="7"/>
    <x v="0"/>
    <s v="Warning"/>
  </r>
  <r>
    <s v="ORD-2025-10407"/>
    <d v="2025-02-25T00:00:00"/>
    <d v="2025-02-25T00:00:00"/>
    <s v="CUST-9909"/>
    <s v="Kabir Singh"/>
    <x v="1"/>
    <x v="3"/>
    <s v="Goa"/>
    <s v="Panaji"/>
    <x v="1"/>
    <x v="3"/>
    <s v="Basic Furnishings 164"/>
    <x v="3"/>
    <n v="2"/>
    <n v="3924.2"/>
    <n v="0.25"/>
    <n v="5886.3"/>
    <n v="3621.76"/>
    <n v="2264.54"/>
    <s v="Pending"/>
    <x v="2"/>
    <s v="OK"/>
    <s v="OK"/>
    <s v="OK"/>
    <s v="OK"/>
    <n v="0"/>
    <s v="Unique"/>
    <n v="0.25"/>
    <s v="Valid"/>
    <n v="5886.2999999999993"/>
    <x v="406"/>
    <n v="0.38471365713606159"/>
    <x v="6"/>
    <x v="1"/>
    <s v="Clean"/>
  </r>
  <r>
    <s v="ORD-2024-10408"/>
    <d v="2024-05-12T00:00:00"/>
    <d v="2024-05-13T00:00:00"/>
    <s v="CUST-8520"/>
    <s v="Rahul Verma"/>
    <x v="2"/>
    <x v="3"/>
    <s v="Goa"/>
    <s v="Panaji"/>
    <x v="0"/>
    <x v="7"/>
    <s v="Smart Labels 261"/>
    <x v="0"/>
    <n v="3"/>
    <n v="2644.55"/>
    <n v="0"/>
    <n v="7933.65"/>
    <n v="5698.42"/>
    <n v="2235.23"/>
    <s v="Paid"/>
    <x v="0"/>
    <s v="OK"/>
    <s v="OK"/>
    <s v="OK"/>
    <s v="OK"/>
    <n v="1"/>
    <s v="Unique"/>
    <n v="0"/>
    <s v="Valid"/>
    <n v="7933.6500000000005"/>
    <x v="407"/>
    <n v="0.2817404347305465"/>
    <x v="4"/>
    <x v="0"/>
    <s v="Clean"/>
  </r>
  <r>
    <s v="ORD-2025-10409"/>
    <d v="2025-08-01T00:00:00"/>
    <d v="2025-08-03T00:00:00"/>
    <s v="CUST-5036"/>
    <s v="Sneha Kapoor"/>
    <x v="0"/>
    <x v="3"/>
    <s v="Maharashtra"/>
    <s v="Mumbai"/>
    <x v="1"/>
    <x v="4"/>
    <s v="Max Chairs 765"/>
    <x v="2"/>
    <n v="4"/>
    <n v="1773.46"/>
    <n v="0"/>
    <n v="7093.84"/>
    <n v="4587.49"/>
    <n v="2506.35"/>
    <s v="Failed"/>
    <x v="2"/>
    <s v="OK"/>
    <s v="OK"/>
    <s v="OK"/>
    <s v="OK"/>
    <n v="2"/>
    <s v="Unique"/>
    <n v="0"/>
    <s v="Valid"/>
    <n v="7093.84"/>
    <x v="408"/>
    <n v="0.35331357910525191"/>
    <x v="1"/>
    <x v="1"/>
    <s v="Clean"/>
  </r>
  <r>
    <s v="ORD-2025-10410"/>
    <d v="2025-02-13T00:00:00"/>
    <d v="2025-02-15T00:00:00"/>
    <s v="CUST-7721"/>
    <s v="Karan Malhotra"/>
    <x v="0"/>
    <x v="1"/>
    <s v="Assam"/>
    <s v="Guwahati"/>
    <x v="2"/>
    <x v="5"/>
    <s v="Pro Accessories 686"/>
    <x v="1"/>
    <n v="1"/>
    <n v="3025.46"/>
    <n v="0.25"/>
    <n v="2269.1"/>
    <n v="1593.59"/>
    <n v="675.51"/>
    <s v="Refunded"/>
    <x v="2"/>
    <s v="OK"/>
    <s v="OK"/>
    <s v="OK"/>
    <s v="OK"/>
    <n v="2"/>
    <s v="Unique"/>
    <n v="0.25"/>
    <s v="Valid"/>
    <n v="2269.0950000000003"/>
    <x v="409"/>
    <n v="0.29769798091309541"/>
    <x v="6"/>
    <x v="1"/>
    <s v="Clean"/>
  </r>
  <r>
    <s v="ORD-2024-10411"/>
    <d v="2024-04-12T00:00:00"/>
    <d v="2024-04-20T00:00:00"/>
    <s v="CUST-9495"/>
    <s v="Diya Patel"/>
    <x v="0"/>
    <x v="3"/>
    <s v="Goa"/>
    <s v="Panaji"/>
    <x v="1"/>
    <x v="1"/>
    <s v="Smart Tables 100"/>
    <x v="2"/>
    <n v="9"/>
    <n v="1302.6099999999999"/>
    <n v="0.2"/>
    <n v="9378.7900000000009"/>
    <n v="6774.48"/>
    <n v="2604.31"/>
    <s v="Paid"/>
    <x v="0"/>
    <s v="OK"/>
    <s v="OK"/>
    <s v="OK"/>
    <s v="OK"/>
    <n v="8"/>
    <s v="Unique"/>
    <n v="0.2"/>
    <s v="Valid"/>
    <n v="9378.7919999999995"/>
    <x v="410"/>
    <n v="0.27768096360384154"/>
    <x v="5"/>
    <x v="0"/>
    <s v="Clean"/>
  </r>
  <r>
    <s v="ORD-2025-10412"/>
    <d v="2025-08-23T00:00:00"/>
    <d v="2025-08-28T00:00:00"/>
    <s v="CUST-2855"/>
    <s v="Arjun Bose"/>
    <x v="3"/>
    <x v="3"/>
    <s v="Rajasthan"/>
    <s v="Udaipur"/>
    <x v="1"/>
    <x v="1"/>
    <s v="Basic Tables 615"/>
    <x v="2"/>
    <n v="1"/>
    <n v="4167.8100000000004"/>
    <n v="0.2"/>
    <n v="3334.25"/>
    <n v="2768.77"/>
    <n v="565.48"/>
    <s v="Failed"/>
    <x v="2"/>
    <s v="OK"/>
    <s v="OK"/>
    <s v="OK"/>
    <s v="OK"/>
    <n v="5"/>
    <s v="Unique"/>
    <n v="0.2"/>
    <s v="Valid"/>
    <n v="3334.2480000000005"/>
    <x v="411"/>
    <n v="0.16959686262089696"/>
    <x v="1"/>
    <x v="1"/>
    <s v="Clean"/>
  </r>
  <r>
    <s v="ORD-2024-10413"/>
    <d v="2024-01-22T00:00:00"/>
    <d v="2024-01-30T00:00:00"/>
    <s v="CUST-4329"/>
    <s v="Isha Nair"/>
    <x v="2"/>
    <x v="2"/>
    <s v="Karnataka"/>
    <s v="Bengaluru"/>
    <x v="1"/>
    <x v="4"/>
    <s v="Basic Chairs 790"/>
    <x v="1"/>
    <n v="1"/>
    <n v="2111.39"/>
    <n v="0.25"/>
    <n v="1583.54"/>
    <n v="1014.19"/>
    <n v="569.35"/>
    <s v="Paid"/>
    <x v="0"/>
    <s v="OK"/>
    <s v="OK"/>
    <s v="OK"/>
    <s v="OK"/>
    <n v="8"/>
    <s v="Unique"/>
    <n v="0.25"/>
    <s v="Valid"/>
    <n v="1583.5425"/>
    <x v="412"/>
    <n v="0.35954355503562424"/>
    <x v="10"/>
    <x v="0"/>
    <s v="Clean"/>
  </r>
  <r>
    <s v="ORD-2025-10414"/>
    <d v="2025-08-13T00:00:00"/>
    <d v="2025-08-17T00:00:00"/>
    <s v="CUST-5094"/>
    <s v="Neha Gupta"/>
    <x v="3"/>
    <x v="3"/>
    <s v="Madhya Pradesh"/>
    <s v="Indore"/>
    <x v="2"/>
    <x v="5"/>
    <s v="Smart Accessories 226"/>
    <x v="0"/>
    <n v="8"/>
    <n v="1918.23"/>
    <n v="0"/>
    <n v="15345.84"/>
    <n v="10735.33"/>
    <n v="4610.51"/>
    <s v="Pending"/>
    <x v="1"/>
    <s v="OK"/>
    <s v="OK"/>
    <s v="OK"/>
    <s v="OK"/>
    <n v="4"/>
    <s v="Unique"/>
    <n v="0"/>
    <s v="Valid"/>
    <n v="15345.84"/>
    <x v="413"/>
    <n v="0.30044037993358463"/>
    <x v="1"/>
    <x v="1"/>
    <s v="Clean"/>
  </r>
  <r>
    <s v="ORD-2024-10415"/>
    <d v="2024-08-29T00:00:00"/>
    <d v="2024-08-30T00:00:00"/>
    <s v="CUST-4194"/>
    <s v="Arjun Bose"/>
    <x v="3"/>
    <x v="1"/>
    <s v="Assam"/>
    <s v="Guwahati"/>
    <x v="0"/>
    <x v="8"/>
    <s v="Max Storage 692"/>
    <x v="2"/>
    <n v="4"/>
    <n v="2484.08"/>
    <n v="0.05"/>
    <n v="9439.5"/>
    <n v="5519.39"/>
    <n v="3920.11"/>
    <s v="Paid"/>
    <x v="0"/>
    <s v="OK"/>
    <s v="OK"/>
    <s v="OK"/>
    <s v="OK"/>
    <n v="1"/>
    <s v="Unique"/>
    <n v="0.05"/>
    <s v="Valid"/>
    <n v="9439.503999999999"/>
    <x v="414"/>
    <n v="0.41528813378330037"/>
    <x v="1"/>
    <x v="0"/>
    <s v="Clean"/>
  </r>
  <r>
    <s v="ORD-2024-10416"/>
    <d v="2024-01-25T00:00:00"/>
    <d v="2024-01-27T00:00:00"/>
    <s v="CUST-7087"/>
    <s v="Aarav Sharma"/>
    <x v="2"/>
    <x v="2"/>
    <s v="Karnataka"/>
    <s v="Bengaluru"/>
    <x v="0"/>
    <x v="8"/>
    <s v="Basic Storage 684"/>
    <x v="1"/>
    <n v="7"/>
    <n v="1727.26"/>
    <n v="0.15"/>
    <n v="10277.200000000001"/>
    <n v="7906.5"/>
    <n v="2370.6999999999998"/>
    <s v="Paid"/>
    <x v="2"/>
    <s v="OK"/>
    <s v="OK"/>
    <s v="OK"/>
    <s v="OK"/>
    <n v="2"/>
    <s v="Unique"/>
    <n v="0.15"/>
    <s v="Valid"/>
    <n v="10277.197"/>
    <x v="415"/>
    <n v="0.23067544584384245"/>
    <x v="10"/>
    <x v="0"/>
    <s v="Clean"/>
  </r>
  <r>
    <s v="ORD-2025-10417"/>
    <d v="2025-01-08T00:00:00"/>
    <d v="2025-01-16T00:00:00"/>
    <s v="CUST-7608"/>
    <s v="Neha Gupta"/>
    <x v="0"/>
    <x v="2"/>
    <s v="Telangana"/>
    <s v="Hyderabad"/>
    <x v="1"/>
    <x v="3"/>
    <s v="Smart Furnishings 152"/>
    <x v="2"/>
    <n v="8"/>
    <n v="638.95000000000005"/>
    <n v="0.25"/>
    <n v="3833.7"/>
    <n v="2886.35"/>
    <n v="947.35"/>
    <s v="Paid"/>
    <x v="0"/>
    <s v="OK"/>
    <s v="OK"/>
    <s v="OK"/>
    <s v="OK"/>
    <n v="8"/>
    <s v="Unique"/>
    <n v="0.25"/>
    <s v="Valid"/>
    <n v="3833.7000000000003"/>
    <x v="416"/>
    <n v="0.24711114589039318"/>
    <x v="10"/>
    <x v="1"/>
    <s v="Clean"/>
  </r>
  <r>
    <s v="ORD-2025-10418"/>
    <d v="2025-01-29T00:00:00"/>
    <d v="2025-02-05T00:00:00"/>
    <s v="CUST-5269"/>
    <s v="Mira Das"/>
    <x v="0"/>
    <x v="3"/>
    <s v="Gujarat"/>
    <s v="Ahmedabad"/>
    <x v="0"/>
    <x v="2"/>
    <s v="Max Art 736"/>
    <x v="2"/>
    <n v="6"/>
    <n v="3863"/>
    <n v="0.2"/>
    <n v="18542.400000000001"/>
    <n v="11193.75"/>
    <n v="7348.65"/>
    <s v="Paid"/>
    <x v="0"/>
    <s v="OK"/>
    <s v="OK"/>
    <s v="OK"/>
    <s v="OK"/>
    <n v="7"/>
    <s v="Unique"/>
    <n v="0.2"/>
    <s v="Valid"/>
    <n v="18542.400000000001"/>
    <x v="417"/>
    <n v="0.39631601087237905"/>
    <x v="10"/>
    <x v="1"/>
    <s v="Clean"/>
  </r>
  <r>
    <s v="ORD-2024-10419"/>
    <d v="2024-11-09T00:00:00"/>
    <d v="2024-11-17T00:00:00"/>
    <s v="CUST-7925"/>
    <s v="Sneha Kapoor"/>
    <x v="2"/>
    <x v="1"/>
    <s v="Odisha"/>
    <s v="Bhubaneswar"/>
    <x v="2"/>
    <x v="6"/>
    <s v="Elite Copiers 971"/>
    <x v="3"/>
    <n v="6"/>
    <n v="3660.4"/>
    <n v="0"/>
    <n v="21962.400000000001"/>
    <n v="15331.99"/>
    <n v="6630.41"/>
    <s v="Failed"/>
    <x v="1"/>
    <s v="OK"/>
    <s v="OK"/>
    <s v="OK"/>
    <s v="OK"/>
    <n v="8"/>
    <s v="Unique"/>
    <n v="0"/>
    <s v="Valid"/>
    <n v="21962.400000000001"/>
    <x v="418"/>
    <n v="0.3018982442720286"/>
    <x v="3"/>
    <x v="0"/>
    <s v="Clean"/>
  </r>
  <r>
    <s v="ORD-2025-10420"/>
    <d v="2025-09-26T00:00:00"/>
    <d v="2025-09-30T00:00:00"/>
    <s v="CUST-6552"/>
    <s v="Sneha Kapoor"/>
    <x v="3"/>
    <x v="0"/>
    <s v="Haryana"/>
    <s v="Gurugram"/>
    <x v="2"/>
    <x v="11"/>
    <s v="Classic Phones 940"/>
    <x v="1"/>
    <n v="2"/>
    <n v="688.83"/>
    <n v="0.05"/>
    <n v="1308.78"/>
    <n v="843"/>
    <n v="465.78"/>
    <s v="Paid"/>
    <x v="0"/>
    <s v="OK"/>
    <s v="OK"/>
    <s v="OK"/>
    <s v="OK"/>
    <n v="4"/>
    <s v="Unique"/>
    <n v="0.05"/>
    <s v="Valid"/>
    <n v="1308.777"/>
    <x v="419"/>
    <n v="0.35588721378813964"/>
    <x v="7"/>
    <x v="1"/>
    <s v="Clean"/>
  </r>
  <r>
    <s v="ORD-2025-10421"/>
    <d v="2025-03-18T00:00:00"/>
    <d v="2025-03-19T00:00:00"/>
    <s v="CUST-7131"/>
    <s v="Isha Nair"/>
    <x v="2"/>
    <x v="2"/>
    <s v="Tamil Nadu"/>
    <s v="Chennai"/>
    <x v="2"/>
    <x v="12"/>
    <s v="Pro Machines 579"/>
    <x v="3"/>
    <n v="2"/>
    <n v="1209.99"/>
    <n v="0.25"/>
    <n v="1814.99"/>
    <n v="1120.06"/>
    <n v="694.93"/>
    <s v="Pending"/>
    <x v="1"/>
    <s v="OK"/>
    <s v="OK"/>
    <s v="OK"/>
    <s v="OK"/>
    <n v="1"/>
    <s v="Unique"/>
    <n v="0.25"/>
    <s v="Valid"/>
    <n v="1814.9850000000001"/>
    <x v="420"/>
    <n v="0.38288195219244242"/>
    <x v="11"/>
    <x v="1"/>
    <s v="Clean"/>
  </r>
  <r>
    <s v="ORD-2025-10422"/>
    <d v="2025-06-14T00:00:00"/>
    <d v="2025-06-19T00:00:00"/>
    <s v="CUST-2779"/>
    <s v="Rohan Mehta"/>
    <x v="1"/>
    <x v="0"/>
    <s v="Delhi"/>
    <s v="New Delhi"/>
    <x v="0"/>
    <x v="9"/>
    <s v="Elite Binders 943"/>
    <x v="1"/>
    <n v="3"/>
    <n v="1037.45"/>
    <n v="0.2"/>
    <n v="2489.88"/>
    <n v="1707.52"/>
    <n v="782.36"/>
    <s v="Pending"/>
    <x v="2"/>
    <s v="OK"/>
    <s v="OK"/>
    <s v="OK"/>
    <s v="OK"/>
    <n v="5"/>
    <s v="Unique"/>
    <n v="0.2"/>
    <s v="Valid"/>
    <n v="2489.8800000000006"/>
    <x v="421"/>
    <n v="0.31421594615001541"/>
    <x v="2"/>
    <x v="1"/>
    <s v="Clean"/>
  </r>
  <r>
    <s v="ORD-2025-10423"/>
    <d v="2025-09-03T00:00:00"/>
    <d v="2025-09-06T00:00:00"/>
    <s v="CUST-6077"/>
    <s v="Kabir Singh"/>
    <x v="0"/>
    <x v="3"/>
    <s v="Madhya Pradesh"/>
    <s v="Indore"/>
    <x v="2"/>
    <x v="6"/>
    <s v="Elite Copiers 474"/>
    <x v="1"/>
    <n v="7"/>
    <n v="688.85"/>
    <n v="0.15"/>
    <n v="4098.66"/>
    <n v="2678.06"/>
    <n v="1420.6"/>
    <s v="Paid"/>
    <x v="0"/>
    <s v="OK"/>
    <s v="OK"/>
    <s v="OK"/>
    <s v="OK"/>
    <n v="3"/>
    <s v="Unique"/>
    <n v="0.15"/>
    <s v="Valid"/>
    <n v="4098.6574999999993"/>
    <x v="422"/>
    <n v="0.34660068571233377"/>
    <x v="7"/>
    <x v="1"/>
    <s v="Clean"/>
  </r>
  <r>
    <s v="ORD-2024-10424"/>
    <d v="2024-02-20T00:00:00"/>
    <d v="2024-02-27T00:00:00"/>
    <s v="CUST-6169"/>
    <s v="Diya Patel"/>
    <x v="0"/>
    <x v="2"/>
    <s v="Kerala"/>
    <s v="Kochi"/>
    <x v="2"/>
    <x v="5"/>
    <s v="Prime Accessories 236"/>
    <x v="2"/>
    <n v="9"/>
    <n v="3779.31"/>
    <n v="0.2"/>
    <n v="27211.03"/>
    <n v="17940.43"/>
    <n v="9270.6"/>
    <s v="Paid"/>
    <x v="0"/>
    <s v="OK"/>
    <s v="OK"/>
    <s v="OK"/>
    <s v="OK"/>
    <n v="7"/>
    <s v="Conflicting Duplicate - Manual Review Required"/>
    <n v="0.2"/>
    <s v="Valid"/>
    <n v="27211.032000000003"/>
    <x v="423"/>
    <n v="0.34069277490100347"/>
    <x v="6"/>
    <x v="0"/>
    <s v="Invalid"/>
  </r>
  <r>
    <s v="ORD-2024-10425"/>
    <d v="2024-06-26T00:00:00"/>
    <d v="2024-06-29T00:00:00"/>
    <s v="CUST-8904"/>
    <s v="Neha Gupta"/>
    <x v="2"/>
    <x v="0"/>
    <s v="Punjab"/>
    <s v="Ludhiana"/>
    <x v="2"/>
    <x v="11"/>
    <s v="Prime Phones 881"/>
    <x v="3"/>
    <n v="8"/>
    <n v="804.52"/>
    <n v="0"/>
    <n v="6436.16"/>
    <n v="4263.83"/>
    <n v="2172.33"/>
    <s v="Paid"/>
    <x v="0"/>
    <s v="OK"/>
    <s v="OK"/>
    <s v="OK"/>
    <s v="OK"/>
    <n v="3"/>
    <s v="Unique"/>
    <n v="0"/>
    <s v="Valid"/>
    <n v="6436.16"/>
    <x v="424"/>
    <n v="0.33751957689056827"/>
    <x v="2"/>
    <x v="0"/>
    <s v="Clean"/>
  </r>
  <r>
    <s v="ORD-2024-10426"/>
    <d v="2024-09-26T00:00:00"/>
    <d v="2024-09-27T00:00:00"/>
    <s v="CUST-9586"/>
    <s v="Isha Nair"/>
    <x v="3"/>
    <x v="0"/>
    <s v="Delhi"/>
    <s v="New Delhi"/>
    <x v="0"/>
    <x v="7"/>
    <s v="Pro Labels 903"/>
    <x v="2"/>
    <n v="2"/>
    <n v="1065.69"/>
    <n v="0.1"/>
    <n v="1918.24"/>
    <n v="1373.52"/>
    <n v="544.72"/>
    <s v="Refunded"/>
    <x v="1"/>
    <s v="OK"/>
    <s v="OK"/>
    <s v="OK"/>
    <s v="OK"/>
    <n v="1"/>
    <s v="Unique"/>
    <n v="0.1"/>
    <s v="Valid"/>
    <n v="1918.2420000000002"/>
    <x v="425"/>
    <n v="0.2839693844676533"/>
    <x v="7"/>
    <x v="0"/>
    <s v="Clean"/>
  </r>
  <r>
    <s v="ORD-2024-10427"/>
    <d v="2024-06-30T00:00:00"/>
    <d v="2024-07-01T00:00:00"/>
    <s v="CUST-5431"/>
    <s v="Aditi Sen"/>
    <x v="0"/>
    <x v="0"/>
    <s v="Haryana"/>
    <s v="Gurugram"/>
    <x v="2"/>
    <x v="6"/>
    <s v="Max Copiers 402"/>
    <x v="1"/>
    <n v="8"/>
    <n v="3756.66"/>
    <n v="0.1"/>
    <n v="27047.95"/>
    <n v="18431.330000000002"/>
    <n v="8616.6200000000008"/>
    <s v="Paid"/>
    <x v="0"/>
    <s v="OK"/>
    <s v="OK"/>
    <s v="OK"/>
    <s v="OK"/>
    <n v="1"/>
    <s v="Unique"/>
    <n v="0.1"/>
    <s v="Valid"/>
    <n v="27047.952000000001"/>
    <x v="426"/>
    <n v="0.31856837072174626"/>
    <x v="2"/>
    <x v="0"/>
    <s v="Clean"/>
  </r>
  <r>
    <s v="ORD-2025-10428"/>
    <d v="2025-04-22T00:00:00"/>
    <d v="2025-04-24T00:00:00"/>
    <s v="CUST-8843"/>
    <s v="Isha Nair"/>
    <x v="2"/>
    <x v="4"/>
    <s v="Jharkhand"/>
    <s v="Ranchi"/>
    <x v="2"/>
    <x v="5"/>
    <s v="Prime Accessories 419"/>
    <x v="3"/>
    <n v="9"/>
    <n v="2939.44"/>
    <n v="0"/>
    <n v="26454.959999999999"/>
    <n v="17630.25"/>
    <n v="8824.7099999999991"/>
    <s v="Paid"/>
    <x v="0"/>
    <s v="OK"/>
    <s v="OK"/>
    <s v="OK"/>
    <s v="OK"/>
    <n v="2"/>
    <s v="Unique"/>
    <n v="0"/>
    <s v="Valid"/>
    <n v="26454.959999999999"/>
    <x v="427"/>
    <n v="0.33357487594008833"/>
    <x v="5"/>
    <x v="1"/>
    <s v="Warning"/>
  </r>
  <r>
    <s v="ORD-2025-10429"/>
    <d v="2025-03-15T00:00:00"/>
    <d v="2025-03-22T00:00:00"/>
    <s v="CUST-7626"/>
    <s v="Karan Malhotra"/>
    <x v="1"/>
    <x v="1"/>
    <s v="West Bengal"/>
    <s v="Kolkata"/>
    <x v="2"/>
    <x v="11"/>
    <s v="Elite Phones 488"/>
    <x v="1"/>
    <n v="2"/>
    <n v="1235.93"/>
    <n v="0.25"/>
    <n v="1853.89"/>
    <n v="1101.23"/>
    <n v="752.66"/>
    <s v="Pending"/>
    <x v="1"/>
    <s v="OK"/>
    <s v="OK"/>
    <s v="OK"/>
    <s v="OK"/>
    <n v="7"/>
    <s v="Unique"/>
    <n v="0.25"/>
    <s v="Valid"/>
    <n v="1853.895"/>
    <x v="428"/>
    <n v="0.40599116994220275"/>
    <x v="11"/>
    <x v="1"/>
    <s v="Clean"/>
  </r>
  <r>
    <s v="ORD-2025-10430"/>
    <d v="2025-03-01T00:00:00"/>
    <d v="2025-03-08T00:00:00"/>
    <s v="CUST-8562"/>
    <s v="Neha Gupta"/>
    <x v="3"/>
    <x v="0"/>
    <s v="Rajasthan"/>
    <s v="Jaipur"/>
    <x v="2"/>
    <x v="6"/>
    <s v="Prime Copiers 109"/>
    <x v="1"/>
    <n v="8"/>
    <n v="2943.1"/>
    <n v="0.25"/>
    <n v="17658.599999999999"/>
    <n v="13842.48"/>
    <n v="3816.12"/>
    <s v="Paid"/>
    <x v="0"/>
    <s v="OK"/>
    <s v="OK"/>
    <s v="OK"/>
    <s v="OK"/>
    <n v="7"/>
    <s v="Unique"/>
    <n v="0.25"/>
    <s v="Valid"/>
    <n v="17658.599999999999"/>
    <x v="429"/>
    <n v="0.2161054670245659"/>
    <x v="11"/>
    <x v="1"/>
    <s v="Clean"/>
  </r>
  <r>
    <s v="ORD-2024-10431"/>
    <d v="2024-08-30T00:00:00"/>
    <d v="2024-09-02T00:00:00"/>
    <s v="CUST-2732"/>
    <s v="Neha Gupta"/>
    <x v="1"/>
    <x v="0"/>
    <s v="Haryana"/>
    <s v="Gurugram"/>
    <x v="0"/>
    <x v="0"/>
    <s v="Max Paper 576"/>
    <x v="0"/>
    <n v="1"/>
    <n v="4320.84"/>
    <n v="0.15"/>
    <n v="3672.71"/>
    <n v="2714.23"/>
    <n v="763.38"/>
    <s v="Paid"/>
    <x v="0"/>
    <s v="OK"/>
    <s v="OK"/>
    <s v="OK"/>
    <s v="OK"/>
    <n v="3"/>
    <s v="Unique"/>
    <n v="0.15"/>
    <s v="Valid"/>
    <n v="3672.7139999999999"/>
    <x v="430"/>
    <n v="0.26097430946161337"/>
    <x v="1"/>
    <x v="0"/>
    <s v="Clean"/>
  </r>
  <r>
    <s v="ORD-2024-10432"/>
    <d v="2024-02-10T00:00:00"/>
    <d v="2024-02-13T00:00:00"/>
    <s v="CUST-3989"/>
    <s v="Karan Malhotra"/>
    <x v="3"/>
    <x v="3"/>
    <s v="Goa"/>
    <s v="Panaji"/>
    <x v="2"/>
    <x v="12"/>
    <s v="Max Machines 412"/>
    <x v="1"/>
    <n v="2"/>
    <n v="4118.45"/>
    <n v="0.25"/>
    <n v="6177.67"/>
    <n v="4520.75"/>
    <n v="1656.92"/>
    <s v="Paid"/>
    <x v="0"/>
    <s v="OK"/>
    <s v="OK"/>
    <s v="OK"/>
    <s v="OK"/>
    <n v="3"/>
    <s v="Unique"/>
    <n v="0.25"/>
    <s v="Valid"/>
    <n v="6177.6749999999993"/>
    <x v="431"/>
    <n v="0.26821174632851347"/>
    <x v="6"/>
    <x v="0"/>
    <s v="Clean"/>
  </r>
  <r>
    <s v="ORD-2024-10433"/>
    <d v="2024-08-29T00:00:00"/>
    <d v="2024-09-02T00:00:00"/>
    <s v="CUST-3522"/>
    <s v="Priya Menon"/>
    <x v="1"/>
    <x v="3"/>
    <s v="Maharashtra"/>
    <s v="Mumbai"/>
    <x v="1"/>
    <x v="10"/>
    <s v="Classic Bookcases 291"/>
    <x v="3"/>
    <n v="6"/>
    <n v="172.82"/>
    <n v="0.05"/>
    <n v="985.07"/>
    <n v="844.48"/>
    <n v="140.59"/>
    <s v="Paid"/>
    <x v="0"/>
    <s v="OK"/>
    <s v="OK"/>
    <s v="OK"/>
    <s v="OK"/>
    <n v="4"/>
    <s v="Unique"/>
    <n v="0.05"/>
    <s v="Valid"/>
    <n v="985.07400000000007"/>
    <x v="432"/>
    <n v="0.14272430294576857"/>
    <x v="1"/>
    <x v="0"/>
    <s v="Clean"/>
  </r>
  <r>
    <s v="ORD-2024-10434"/>
    <d v="2024-04-19T00:00:00"/>
    <d v="2024-04-20T00:00:00"/>
    <s v="CUST-7066"/>
    <s v="Priya Menon"/>
    <x v="2"/>
    <x v="2"/>
    <s v="Kerala"/>
    <s v="Kochi"/>
    <x v="0"/>
    <x v="2"/>
    <s v="Elite Art 946"/>
    <x v="0"/>
    <n v="4"/>
    <n v="1540.22"/>
    <n v="0"/>
    <n v="6160.88"/>
    <n v="4938.7"/>
    <n v="1222.18"/>
    <s v="Refunded"/>
    <x v="2"/>
    <s v="OK"/>
    <s v="OK"/>
    <s v="OK"/>
    <s v="OK"/>
    <n v="1"/>
    <s v="Unique"/>
    <n v="0"/>
    <s v="Valid"/>
    <n v="6160.88"/>
    <x v="433"/>
    <n v="0.19837750451234243"/>
    <x v="5"/>
    <x v="0"/>
    <s v="Clean"/>
  </r>
  <r>
    <s v="ORD-2025-10435"/>
    <d v="2025-04-11T00:00:00"/>
    <d v="2025-04-15T00:00:00"/>
    <s v="CUST-2351"/>
    <s v="Mira Das"/>
    <x v="3"/>
    <x v="0"/>
    <s v="Uttar Pradesh"/>
    <s v="Noida"/>
    <x v="2"/>
    <x v="5"/>
    <s v="Eco Accessories 705"/>
    <x v="0"/>
    <n v="5"/>
    <n v="652.78"/>
    <n v="0"/>
    <n v="3263.9"/>
    <n v="2068.44"/>
    <n v="1195.46"/>
    <s v="Paid"/>
    <x v="0"/>
    <s v="OK"/>
    <s v="OK"/>
    <s v="OK"/>
    <s v="OK"/>
    <n v="4"/>
    <s v="Unique"/>
    <n v="0"/>
    <s v="Valid"/>
    <n v="3263.8999999999996"/>
    <x v="434"/>
    <n v="0.3662673488771101"/>
    <x v="5"/>
    <x v="1"/>
    <s v="Clean"/>
  </r>
  <r>
    <s v="ORD-2025-10436"/>
    <d v="2025-04-12T00:00:00"/>
    <d v="2025-04-20T00:00:00"/>
    <s v="CUST-7291"/>
    <s v="Kabir Singh"/>
    <x v="3"/>
    <x v="0"/>
    <s v="Delhi"/>
    <s v="New Delhi"/>
    <x v="2"/>
    <x v="12"/>
    <s v="Max Machines 151"/>
    <x v="3"/>
    <n v="1"/>
    <n v="2737.71"/>
    <n v="0.15"/>
    <n v="2327.0500000000002"/>
    <n v="1919.42"/>
    <n v="407.63"/>
    <s v="Paid"/>
    <x v="1"/>
    <s v="OK"/>
    <s v="OK"/>
    <s v="OK"/>
    <s v="OK"/>
    <n v="8"/>
    <s v="Unique"/>
    <n v="0.15"/>
    <s v="Valid"/>
    <n v="2327.0535"/>
    <x v="435"/>
    <n v="0.17517152055163318"/>
    <x v="5"/>
    <x v="1"/>
    <s v="Clean"/>
  </r>
  <r>
    <s v="ORD-2024-10437"/>
    <d v="2024-06-16T00:00:00"/>
    <d v="2024-06-21T00:00:00"/>
    <s v="CUST-4492"/>
    <s v="Neha Gupta"/>
    <x v="0"/>
    <x v="2"/>
    <s v="Kerala"/>
    <s v="Kochi"/>
    <x v="1"/>
    <x v="3"/>
    <s v="Max Furnishings 803"/>
    <x v="1"/>
    <n v="6"/>
    <n v="1156.78"/>
    <n v="0.05"/>
    <n v="6593.65"/>
    <n v="4359.3900000000003"/>
    <n v="2234.2600000000002"/>
    <s v="Paid"/>
    <x v="2"/>
    <s v="OK"/>
    <s v="OK"/>
    <s v="OK"/>
    <s v="OK"/>
    <n v="5"/>
    <s v="Unique"/>
    <n v="0.05"/>
    <s v="Valid"/>
    <n v="6593.6459999999997"/>
    <x v="436"/>
    <n v="0.33884985636171544"/>
    <x v="2"/>
    <x v="0"/>
    <s v="Clean"/>
  </r>
  <r>
    <s v="ORD-2024-10438"/>
    <d v="2024-02-15T00:00:00"/>
    <d v="2024-02-18T00:00:00"/>
    <s v="CUST-5029"/>
    <s v="Aditi Sen"/>
    <x v="1"/>
    <x v="2"/>
    <s v="Kerala"/>
    <s v="Kochi"/>
    <x v="2"/>
    <x v="5"/>
    <s v="Max Accessories 423"/>
    <x v="1"/>
    <n v="8"/>
    <n v="379.82"/>
    <n v="0.05"/>
    <n v="2886.63"/>
    <n v="1588.23"/>
    <n v="1298.4000000000001"/>
    <s v="Failed"/>
    <x v="2"/>
    <s v="OK"/>
    <s v="OK"/>
    <s v="OK"/>
    <s v="OK"/>
    <n v="3"/>
    <s v="Unique"/>
    <n v="0.05"/>
    <s v="Valid"/>
    <n v="2886.6319999999996"/>
    <x v="437"/>
    <n v="0.44979824238073984"/>
    <x v="6"/>
    <x v="0"/>
    <s v="Clean"/>
  </r>
  <r>
    <s v="ORD-2025-10439"/>
    <d v="2025-05-07T00:00:00"/>
    <d v="2025-05-05T00:00:00"/>
    <s v="CUST-7252"/>
    <s v="Neha Gupta"/>
    <x v="2"/>
    <x v="1"/>
    <s v="Jharkhand"/>
    <s v="Ranchi"/>
    <x v="2"/>
    <x v="11"/>
    <s v="Elite Phones 276"/>
    <x v="3"/>
    <n v="1"/>
    <n v="2266.4699999999998"/>
    <n v="0.2"/>
    <n v="1813.18"/>
    <n v="1363.64"/>
    <n v="449.54"/>
    <s v="Paid"/>
    <x v="0"/>
    <s v="OK"/>
    <s v="OK"/>
    <s v="OK"/>
    <s v="Invalid: Ship Before Order"/>
    <n v="-2"/>
    <s v="Unique"/>
    <n v="0.2"/>
    <s v="Valid"/>
    <n v="1813.1759999999999"/>
    <x v="438"/>
    <n v="0.24792739370033567"/>
    <x v="4"/>
    <x v="1"/>
    <s v="Invalid"/>
  </r>
  <r>
    <s v="ORD-2025-10440"/>
    <d v="2025-06-30T00:00:00"/>
    <d v="2025-07-03T00:00:00"/>
    <s v="CUST-7346"/>
    <s v="Aarav Sharma"/>
    <x v="3"/>
    <x v="3"/>
    <s v="Goa"/>
    <s v="Panaji"/>
    <x v="0"/>
    <x v="8"/>
    <s v="Smart Storage 287"/>
    <x v="1"/>
    <n v="5"/>
    <n v="665.25"/>
    <n v="0"/>
    <n v="3326.25"/>
    <n v="2689.36"/>
    <n v="636.89"/>
    <s v="Refunded"/>
    <x v="2"/>
    <s v="OK"/>
    <s v="OK"/>
    <s v="OK"/>
    <s v="OK"/>
    <n v="3"/>
    <s v="Unique"/>
    <n v="0"/>
    <s v="Valid"/>
    <n v="3326.25"/>
    <x v="439"/>
    <n v="0.19147388199924836"/>
    <x v="2"/>
    <x v="1"/>
    <s v="Clean"/>
  </r>
  <r>
    <s v="ORD-2024-10441"/>
    <d v="2024-04-02T00:00:00"/>
    <d v="2024-04-08T00:00:00"/>
    <s v="CUST-9039"/>
    <s v="Vikram Iyer"/>
    <x v="2"/>
    <x v="1"/>
    <s v="Odisha"/>
    <s v="Bhubaneswar"/>
    <x v="2"/>
    <x v="12"/>
    <s v="Basic Machines 610"/>
    <x v="0"/>
    <n v="6"/>
    <n v="3722.84"/>
    <n v="0.2"/>
    <n v="17869.63"/>
    <n v="12163.8"/>
    <n v="5705.83"/>
    <s v="Paid"/>
    <x v="0"/>
    <s v="OK"/>
    <s v="OK"/>
    <s v="OK"/>
    <s v="OK"/>
    <n v="6"/>
    <s v="Unique"/>
    <n v="0.2"/>
    <s v="Valid"/>
    <n v="17869.632000000001"/>
    <x v="440"/>
    <n v="0.31930327384469931"/>
    <x v="5"/>
    <x v="0"/>
    <s v="Clean"/>
  </r>
  <r>
    <s v="ORD-2024-10442"/>
    <d v="2024-10-03T00:00:00"/>
    <d v="2024-10-03T00:00:00"/>
    <s v="CUST-3975"/>
    <s v="Karan Malhotra"/>
    <x v="0"/>
    <x v="1"/>
    <s v="Bihar"/>
    <s v="Patna"/>
    <x v="1"/>
    <x v="10"/>
    <s v="Elite Bookcases 393"/>
    <x v="3"/>
    <n v="6"/>
    <n v="4217.49"/>
    <n v="0"/>
    <n v="25304.94"/>
    <n v="20771.95"/>
    <n v="4532.99"/>
    <s v="Paid"/>
    <x v="1"/>
    <s v="OK"/>
    <s v="OK"/>
    <s v="OK"/>
    <s v="OK"/>
    <n v="0"/>
    <s v="Unique"/>
    <n v="0"/>
    <s v="Valid"/>
    <n v="25304.94"/>
    <x v="441"/>
    <n v="0.17913458795002077"/>
    <x v="9"/>
    <x v="0"/>
    <s v="Clean"/>
  </r>
  <r>
    <s v="ORD-2025-10443"/>
    <d v="2025-01-12T00:00:00"/>
    <d v="2025-01-19T00:00:00"/>
    <s v="CUST-6588"/>
    <s v="Aarav Sharma"/>
    <x v="0"/>
    <x v="1"/>
    <s v="Jharkhand"/>
    <s v="Ranchi"/>
    <x v="1"/>
    <x v="1"/>
    <s v="Prime Tables 242"/>
    <x v="2"/>
    <n v="1"/>
    <n v="1842.31"/>
    <n v="0"/>
    <n v="1842.31"/>
    <n v="1019.17"/>
    <n v="823.14"/>
    <s v="Paid"/>
    <x v="0"/>
    <s v="OK"/>
    <s v="OK"/>
    <s v="OK"/>
    <s v="OK"/>
    <n v="7"/>
    <s v="Unique"/>
    <n v="0"/>
    <s v="Valid"/>
    <n v="1842.31"/>
    <x v="442"/>
    <n v="0.44679777019068451"/>
    <x v="10"/>
    <x v="1"/>
    <s v="Clean"/>
  </r>
  <r>
    <s v="ORD-2024-10444"/>
    <d v="2024-04-04T00:00:00"/>
    <d v="2024-04-07T00:00:00"/>
    <s v="CUST-2207"/>
    <s v="Rohan Mehta"/>
    <x v="3"/>
    <x v="1"/>
    <s v="Odisha"/>
    <s v="Bhubaneswar"/>
    <x v="1"/>
    <x v="3"/>
    <s v="Basic Furnishings 563"/>
    <x v="2"/>
    <n v="1"/>
    <n v="3683.75"/>
    <n v="0.1"/>
    <n v="3315.38"/>
    <n v="2347.6799999999998"/>
    <n v="967.7"/>
    <s v="Paid"/>
    <x v="0"/>
    <s v="OK"/>
    <s v="OK"/>
    <s v="OK"/>
    <s v="OK"/>
    <n v="3"/>
    <s v="Unique"/>
    <n v="0.1"/>
    <s v="Valid"/>
    <n v="3315.375"/>
    <x v="443"/>
    <n v="0.29188100893564084"/>
    <x v="5"/>
    <x v="0"/>
    <s v="Clean"/>
  </r>
  <r>
    <s v="ORD-2025-10445"/>
    <d v="2025-08-12T00:00:00"/>
    <d v="2025-08-16T00:00:00"/>
    <s v="CUST-4475"/>
    <s v="Ananya Rao"/>
    <x v="0"/>
    <x v="1"/>
    <s v="Assam"/>
    <s v="Guwahati"/>
    <x v="2"/>
    <x v="5"/>
    <s v="Prime Accessories 482"/>
    <x v="1"/>
    <n v="9"/>
    <n v="2379.2399999999998"/>
    <n v="0.05"/>
    <n v="20342.5"/>
    <n v="12407.51"/>
    <n v="7934.99"/>
    <s v="Paid"/>
    <x v="0"/>
    <s v="OK"/>
    <s v="OK"/>
    <s v="OK"/>
    <s v="OK"/>
    <n v="4"/>
    <s v="Unique"/>
    <n v="0.05"/>
    <s v="Valid"/>
    <n v="20342.501999999997"/>
    <x v="444"/>
    <n v="0.39006961877157481"/>
    <x v="1"/>
    <x v="1"/>
    <s v="Clean"/>
  </r>
  <r>
    <s v="ORD-2024-10446"/>
    <d v="2024-05-09T00:00:00"/>
    <d v="2024-05-05T00:00:00"/>
    <s v="CUST-1351"/>
    <s v="Arjun Bose"/>
    <x v="0"/>
    <x v="1"/>
    <s v="Assam"/>
    <s v="Guwahati"/>
    <x v="1"/>
    <x v="10"/>
    <s v="Eco Bookcases 215"/>
    <x v="1"/>
    <n v="2"/>
    <n v="2111.23"/>
    <n v="0.2"/>
    <n v="3377.97"/>
    <n v="2496.29"/>
    <n v="881.68"/>
    <s v="Paid"/>
    <x v="0"/>
    <s v="OK"/>
    <s v="OK"/>
    <s v="OK"/>
    <s v="Invalid: Ship Before Order"/>
    <n v="-4"/>
    <s v="Unique"/>
    <n v="0.2"/>
    <s v="Valid"/>
    <n v="3377.9680000000003"/>
    <x v="445"/>
    <n v="0.26100839321154029"/>
    <x v="4"/>
    <x v="0"/>
    <s v="Invalid"/>
  </r>
  <r>
    <s v="ORD-2025-10447"/>
    <d v="2025-09-18T00:00:00"/>
    <d v="2025-09-19T00:00:00"/>
    <s v="CUST-9295"/>
    <s v="Sneha Kapoor"/>
    <x v="3"/>
    <x v="2"/>
    <s v="Andhra Pradesh"/>
    <s v="Vijayawada"/>
    <x v="0"/>
    <x v="8"/>
    <s v="Eco Storage 793"/>
    <x v="1"/>
    <n v="8"/>
    <n v="4242.51"/>
    <n v="0"/>
    <n v="33940.080000000002"/>
    <n v="23754.19"/>
    <n v="10185.89"/>
    <s v="Paid"/>
    <x v="0"/>
    <s v="OK"/>
    <s v="OK"/>
    <s v="OK"/>
    <s v="OK"/>
    <n v="1"/>
    <s v="Unique"/>
    <n v="0"/>
    <s v="Valid"/>
    <n v="33940.080000000002"/>
    <x v="446"/>
    <n v="0.30011390662603044"/>
    <x v="7"/>
    <x v="1"/>
    <s v="Clean"/>
  </r>
  <r>
    <s v="ORD-2025-10448"/>
    <d v="2025-08-10T00:00:00"/>
    <d v="2025-08-10T00:00:00"/>
    <s v="CUST-3614"/>
    <s v="Rohan Mehta"/>
    <x v="3"/>
    <x v="2"/>
    <s v="Telangana"/>
    <s v="Hyderabad"/>
    <x v="1"/>
    <x v="10"/>
    <s v="Basic Bookcases 182"/>
    <x v="3"/>
    <n v="6"/>
    <n v="4288.7"/>
    <n v="0.15"/>
    <n v="21872.37"/>
    <n v="13829.5"/>
    <n v="8042.87"/>
    <s v="Pending"/>
    <x v="2"/>
    <s v="OK"/>
    <s v="OK"/>
    <s v="OK"/>
    <s v="OK"/>
    <n v="0"/>
    <s v="Unique"/>
    <n v="0.15"/>
    <s v="Valid"/>
    <n v="21872.369999999995"/>
    <x v="447"/>
    <n v="0.36771826738483288"/>
    <x v="1"/>
    <x v="1"/>
    <s v="Clean"/>
  </r>
  <r>
    <s v="ORD-2024-10449"/>
    <d v="2024-01-15T00:00:00"/>
    <d v="2024-01-18T00:00:00"/>
    <s v="CUST-1932"/>
    <s v="Mira Das"/>
    <x v="1"/>
    <x v="2"/>
    <s v="Andhra Pradesh"/>
    <s v="Vijayawada"/>
    <x v="1"/>
    <x v="4"/>
    <s v="Prime Chairs 631"/>
    <x v="2"/>
    <n v="2"/>
    <n v="201.21"/>
    <n v="0.15"/>
    <n v="342.06"/>
    <n v="244.57"/>
    <n v="97.49"/>
    <s v="Paid"/>
    <x v="0"/>
    <s v="OK"/>
    <s v="OK"/>
    <s v="OK"/>
    <s v="OK"/>
    <n v="3"/>
    <s v="Unique"/>
    <n v="0.15"/>
    <s v="Valid"/>
    <n v="342.05700000000002"/>
    <x v="448"/>
    <n v="0.28500220723446684"/>
    <x v="10"/>
    <x v="0"/>
    <s v="Clean"/>
  </r>
  <r>
    <s v="ORD-2024-10450"/>
    <d v="2024-06-06T00:00:00"/>
    <d v="2024-06-13T00:00:00"/>
    <s v="CUST-5094"/>
    <s v="Aditi Sen"/>
    <x v="2"/>
    <x v="1"/>
    <s v="Assam"/>
    <s v="Guwahati"/>
    <x v="2"/>
    <x v="12"/>
    <s v="Basic Machines 808"/>
    <x v="0"/>
    <n v="6"/>
    <n v="3270.36"/>
    <n v="0"/>
    <n v="19622.16"/>
    <n v="14271.27"/>
    <n v="5350.89"/>
    <s v="Paid"/>
    <x v="0"/>
    <s v="OK"/>
    <s v="OK"/>
    <s v="OK"/>
    <s v="OK"/>
    <n v="7"/>
    <s v="Unique"/>
    <n v="0"/>
    <s v="Valid"/>
    <n v="19622.16"/>
    <x v="449"/>
    <n v="0.27269627808559299"/>
    <x v="2"/>
    <x v="0"/>
    <s v="Clean"/>
  </r>
  <r>
    <s v="ORD-2025-10451"/>
    <d v="2025-06-12T00:00:00"/>
    <d v="2025-06-19T00:00:00"/>
    <s v="CUST-8672"/>
    <s v="Ananya Rao"/>
    <x v="2"/>
    <x v="0"/>
    <s v="Delhi"/>
    <s v="New Delhi"/>
    <x v="1"/>
    <x v="4"/>
    <s v="Pro Chairs 302"/>
    <x v="3"/>
    <n v="9"/>
    <n v="2278.5700000000002"/>
    <n v="0.25"/>
    <n v="15380.35"/>
    <n v="9907.3700000000008"/>
    <n v="5472.98"/>
    <s v="Paid"/>
    <x v="0"/>
    <s v="OK"/>
    <s v="OK"/>
    <s v="OK"/>
    <s v="OK"/>
    <n v="7"/>
    <s v="Unique"/>
    <n v="0.25"/>
    <s v="Valid"/>
    <n v="15380.3475"/>
    <x v="450"/>
    <n v="0.35584225258889624"/>
    <x v="2"/>
    <x v="1"/>
    <s v="Clean"/>
  </r>
  <r>
    <s v="ORD-2024-10452"/>
    <d v="2024-03-24T00:00:00"/>
    <d v="2024-03-26T00:00:00"/>
    <s v="CUST-3907"/>
    <s v="Rohan Mehta"/>
    <x v="1"/>
    <x v="0"/>
    <s v="Haryana"/>
    <s v="Gurugram"/>
    <x v="0"/>
    <x v="0"/>
    <s v="Classic Paper 272"/>
    <x v="0"/>
    <n v="8"/>
    <n v="1917.64"/>
    <n v="0.15"/>
    <n v="13039.95"/>
    <n v="11127.82"/>
    <n v="1912.13"/>
    <s v="Paid"/>
    <x v="1"/>
    <s v="OK"/>
    <s v="OK"/>
    <s v="OK"/>
    <s v="OK"/>
    <n v="2"/>
    <s v="Unique"/>
    <n v="0.15"/>
    <s v="Valid"/>
    <n v="13039.952000000001"/>
    <x v="451"/>
    <n v="0.1466364293365498"/>
    <x v="11"/>
    <x v="0"/>
    <s v="Clean"/>
  </r>
  <r>
    <s v="ORD-2024-10453"/>
    <d v="2024-05-10T00:00:00"/>
    <d v="2024-05-16T00:00:00"/>
    <s v="CUST-8796"/>
    <s v="Diya Patel"/>
    <x v="3"/>
    <x v="1"/>
    <s v="Jharkhand"/>
    <s v="Ranchi"/>
    <x v="2"/>
    <x v="5"/>
    <s v="Smart Accessories 149"/>
    <x v="0"/>
    <n v="6"/>
    <n v="2013.33"/>
    <n v="0.2"/>
    <n v="9663.98"/>
    <n v="5628.93"/>
    <n v="4035.05"/>
    <s v="Paid"/>
    <x v="0"/>
    <s v="OK"/>
    <s v="OK"/>
    <s v="OK"/>
    <s v="OK"/>
    <n v="6"/>
    <s v="Unique"/>
    <n v="0.2"/>
    <s v="Valid"/>
    <n v="9663.9840000000004"/>
    <x v="452"/>
    <n v="0.41753525254180884"/>
    <x v="4"/>
    <x v="0"/>
    <s v="Clean"/>
  </r>
  <r>
    <s v="ORD-2025-10454"/>
    <d v="2025-05-03T00:00:00"/>
    <d v="2025-05-11T00:00:00"/>
    <s v="CUST-2317"/>
    <s v="Rohan Mehta"/>
    <x v="1"/>
    <x v="3"/>
    <s v="Madhya Pradesh"/>
    <s v="Indore"/>
    <x v="0"/>
    <x v="7"/>
    <s v="Elite Labels 322"/>
    <x v="1"/>
    <n v="5"/>
    <n v="1483.52"/>
    <n v="0"/>
    <n v="7417.6"/>
    <n v="4955.8599999999997"/>
    <n v="2461.7399999999998"/>
    <s v="Paid"/>
    <x v="0"/>
    <s v="OK"/>
    <s v="OK"/>
    <s v="OK"/>
    <s v="OK"/>
    <n v="8"/>
    <s v="Unique"/>
    <n v="0"/>
    <s v="Valid"/>
    <n v="7417.6"/>
    <x v="453"/>
    <n v="0.3318782355478862"/>
    <x v="4"/>
    <x v="1"/>
    <s v="Clean"/>
  </r>
  <r>
    <s v="ORD-2025-10455"/>
    <d v="2025-03-23T00:00:00"/>
    <d v="2025-03-28T00:00:00"/>
    <s v="CUST-8643"/>
    <s v="Vikram Iyer"/>
    <x v="1"/>
    <x v="0"/>
    <s v="Rajasthan"/>
    <s v="Jaipur"/>
    <x v="1"/>
    <x v="3"/>
    <s v="Max Furnishings 821"/>
    <x v="3"/>
    <n v="9"/>
    <n v="3298"/>
    <n v="0.15"/>
    <n v="25229.7"/>
    <n v="20170.43"/>
    <n v="5059.2700000000004"/>
    <s v="Paid"/>
    <x v="0"/>
    <s v="OK"/>
    <s v="OK"/>
    <s v="OK"/>
    <s v="OK"/>
    <n v="5"/>
    <s v="Unique"/>
    <n v="0.15"/>
    <s v="Valid"/>
    <n v="25229.7"/>
    <x v="454"/>
    <n v="0.20052834556098567"/>
    <x v="11"/>
    <x v="1"/>
    <s v="Clean"/>
  </r>
  <r>
    <s v="ORD-2024-10456"/>
    <d v="2024-07-18T00:00:00"/>
    <d v="2024-07-22T00:00:00"/>
    <s v="CUST-1800"/>
    <s v="Neha Gupta"/>
    <x v="1"/>
    <x v="2"/>
    <s v="Telangana"/>
    <s v="Hyderabad"/>
    <x v="0"/>
    <x v="2"/>
    <s v="Basic Art 556"/>
    <x v="3"/>
    <n v="4"/>
    <n v="808.77"/>
    <n v="0"/>
    <n v="3235.08"/>
    <n v="1848.6"/>
    <n v="1386.48"/>
    <s v="Paid"/>
    <x v="0"/>
    <s v="OK"/>
    <s v="OK"/>
    <s v="OK"/>
    <s v="OK"/>
    <n v="4"/>
    <s v="Unique"/>
    <n v="0"/>
    <s v="Valid"/>
    <n v="3235.08"/>
    <x v="455"/>
    <n v="0.42857672762342819"/>
    <x v="0"/>
    <x v="0"/>
    <s v="Clean"/>
  </r>
  <r>
    <s v="ORD-2024-10457"/>
    <d v="2024-02-20T00:00:00"/>
    <d v="2024-02-20T00:00:00"/>
    <s v="CUST-7688"/>
    <s v="Neha Gupta"/>
    <x v="2"/>
    <x v="0"/>
    <s v="Uttar Pradesh"/>
    <s v="Noida"/>
    <x v="2"/>
    <x v="5"/>
    <s v="Smart Accessories 265"/>
    <x v="1"/>
    <n v="5"/>
    <n v="2604.91"/>
    <n v="0.15"/>
    <n v="11070.87"/>
    <n v="6623.61"/>
    <n v="4447.26"/>
    <s v="Paid"/>
    <x v="2"/>
    <s v="OK"/>
    <s v="OK"/>
    <s v="OK"/>
    <s v="OK"/>
    <n v="0"/>
    <s v="Unique"/>
    <n v="0.15"/>
    <s v="Valid"/>
    <n v="11070.867499999998"/>
    <x v="456"/>
    <n v="0.40170813172499803"/>
    <x v="6"/>
    <x v="0"/>
    <s v="Clean"/>
  </r>
  <r>
    <s v="ORD-2024-10458"/>
    <d v="2024-05-04T00:00:00"/>
    <d v="2024-05-04T00:00:00"/>
    <s v="CUST-4957"/>
    <s v="Mira Das"/>
    <x v="1"/>
    <x v="3"/>
    <s v="Goa"/>
    <s v="Panaji"/>
    <x v="1"/>
    <x v="1"/>
    <s v="Elite Tables 418"/>
    <x v="3"/>
    <n v="7"/>
    <n v="2851.51"/>
    <n v="0"/>
    <n v="19960.57"/>
    <n v="16603.599999999999"/>
    <n v="3356.97"/>
    <s v="Paid"/>
    <x v="0"/>
    <s v="OK"/>
    <s v="OK"/>
    <s v="OK"/>
    <s v="OK"/>
    <n v="0"/>
    <s v="Unique"/>
    <n v="0"/>
    <s v="Valid"/>
    <n v="19960.57"/>
    <x v="457"/>
    <n v="0.1681800670020947"/>
    <x v="4"/>
    <x v="0"/>
    <s v="Clean"/>
  </r>
  <r>
    <s v="ORD-2024-10459"/>
    <d v="2024-02-10T00:00:00"/>
    <d v="2024-02-11T00:00:00"/>
    <s v="CUST-1263"/>
    <s v="Karan Malhotra"/>
    <x v="2"/>
    <x v="0"/>
    <s v="Rajasthan"/>
    <s v="Jaipur"/>
    <x v="2"/>
    <x v="11"/>
    <s v="Pro Phones 907"/>
    <x v="0"/>
    <n v="3"/>
    <n v="3183.72"/>
    <n v="0.1"/>
    <n v="8596.0400000000009"/>
    <n v="5378.16"/>
    <n v="3217.88"/>
    <s v="Paid"/>
    <x v="0"/>
    <s v="OK"/>
    <s v="OK"/>
    <s v="OK"/>
    <s v="OK"/>
    <n v="1"/>
    <s v="Unique"/>
    <n v="0.1"/>
    <s v="Valid"/>
    <n v="8596.0439999999999"/>
    <x v="458"/>
    <n v="0.37434475672762962"/>
    <x v="6"/>
    <x v="0"/>
    <s v="Clean"/>
  </r>
  <r>
    <s v="ORD-2024-10460"/>
    <d v="2024-03-28T00:00:00"/>
    <d v="2024-04-04T00:00:00"/>
    <s v="CUST-4745"/>
    <s v="Ananya Rao"/>
    <x v="3"/>
    <x v="3"/>
    <s v="Goa"/>
    <s v="Panaji"/>
    <x v="0"/>
    <x v="0"/>
    <s v="Basic Paper 233"/>
    <x v="2"/>
    <n v="3"/>
    <n v="1150.92"/>
    <n v="0"/>
    <n v="3452.76"/>
    <n v="2077.96"/>
    <n v="1374.8"/>
    <s v="Paid"/>
    <x v="0"/>
    <s v="OK"/>
    <s v="OK"/>
    <s v="OK"/>
    <s v="OK"/>
    <n v="7"/>
    <s v="Unique"/>
    <n v="0"/>
    <s v="Valid"/>
    <n v="3452.76"/>
    <x v="459"/>
    <n v="0.39817421425178701"/>
    <x v="11"/>
    <x v="0"/>
    <s v="Clean"/>
  </r>
  <r>
    <s v="ORD-2025-10461"/>
    <d v="2025-09-30T00:00:00"/>
    <d v="2025-10-06T00:00:00"/>
    <s v="CUST-5551"/>
    <s v="Aarav Sharma"/>
    <x v="2"/>
    <x v="4"/>
    <s v="Rajasthan"/>
    <s v="Jaipur"/>
    <x v="2"/>
    <x v="6"/>
    <s v="Eco Copiers 603"/>
    <x v="0"/>
    <n v="9"/>
    <n v="1359.88"/>
    <n v="0.05"/>
    <n v="11626.97"/>
    <n v="7394.07"/>
    <n v="4232.8999999999996"/>
    <s v="Paid"/>
    <x v="0"/>
    <s v="OK"/>
    <s v="OK"/>
    <s v="OK"/>
    <s v="OK"/>
    <n v="6"/>
    <s v="Unique"/>
    <n v="0.05"/>
    <s v="Valid"/>
    <n v="11626.974000000002"/>
    <x v="460"/>
    <n v="0.36405895463428417"/>
    <x v="7"/>
    <x v="1"/>
    <s v="Warning"/>
  </r>
  <r>
    <s v="ORD-2025-10462"/>
    <d v="2025-05-25T00:00:00"/>
    <d v="2025-05-26T00:00:00"/>
    <s v="CUST-3659"/>
    <s v="Neha Gupta"/>
    <x v="2"/>
    <x v="2"/>
    <s v="Andhra Pradesh"/>
    <s v="Vijayawada"/>
    <x v="0"/>
    <x v="0"/>
    <s v="Max Paper 700"/>
    <x v="3"/>
    <n v="3"/>
    <n v="3378.15"/>
    <n v="0.15"/>
    <n v="8614.2800000000007"/>
    <n v="7052.08"/>
    <n v="1562.2"/>
    <s v="Paid"/>
    <x v="0"/>
    <s v="OK"/>
    <s v="OK"/>
    <s v="OK"/>
    <s v="OK"/>
    <n v="1"/>
    <s v="Unique"/>
    <n v="0.15"/>
    <s v="Valid"/>
    <n v="8614.2825000000012"/>
    <x v="461"/>
    <n v="0.18135027496486225"/>
    <x v="4"/>
    <x v="1"/>
    <s v="Clean"/>
  </r>
  <r>
    <s v="ORD-2024-10463"/>
    <d v="2024-09-23T00:00:00"/>
    <d v="2024-09-25T00:00:00"/>
    <s v="CUST-6594"/>
    <s v="Aarav Sharma"/>
    <x v="3"/>
    <x v="0"/>
    <s v="Delhi"/>
    <s v="New Delhi"/>
    <x v="0"/>
    <x v="9"/>
    <s v="Pro Binders 404"/>
    <x v="2"/>
    <n v="2"/>
    <n v="1275.1400000000001"/>
    <n v="0.2"/>
    <n v="2040.22"/>
    <n v="1395.71"/>
    <n v="644.51"/>
    <s v="Paid"/>
    <x v="0"/>
    <s v="OK"/>
    <s v="OK"/>
    <s v="OK"/>
    <s v="OK"/>
    <n v="2"/>
    <s v="Unique"/>
    <n v="0.2"/>
    <s v="Valid"/>
    <n v="2040.2240000000002"/>
    <x v="462"/>
    <n v="0.31590354784572677"/>
    <x v="7"/>
    <x v="0"/>
    <s v="Clean"/>
  </r>
  <r>
    <s v="ORD-2025-10464"/>
    <d v="2025-02-07T00:00:00"/>
    <d v="2025-02-08T00:00:00"/>
    <s v="CUST-2626"/>
    <s v="Arjun Bose"/>
    <x v="2"/>
    <x v="3"/>
    <s v="Madhya Pradesh"/>
    <s v="Indore"/>
    <x v="2"/>
    <x v="11"/>
    <s v="Eco Phones 208"/>
    <x v="3"/>
    <n v="4"/>
    <n v="889.5"/>
    <n v="0.2"/>
    <n v="2846.4"/>
    <n v="2132.37"/>
    <n v="714.03"/>
    <s v="Paid"/>
    <x v="0"/>
    <s v="OK"/>
    <s v="OK"/>
    <s v="OK"/>
    <s v="OK"/>
    <n v="1"/>
    <s v="Unique"/>
    <n v="0.2"/>
    <s v="Valid"/>
    <n v="2846.4"/>
    <x v="463"/>
    <n v="0.25085370994940986"/>
    <x v="6"/>
    <x v="1"/>
    <s v="Clean"/>
  </r>
  <r>
    <s v="ORD-2025-10465"/>
    <d v="2025-03-11T00:00:00"/>
    <d v="2025-03-15T00:00:00"/>
    <s v="CUST-7362"/>
    <s v="Arjun Bose"/>
    <x v="2"/>
    <x v="1"/>
    <s v="Bihar"/>
    <s v="Patna"/>
    <x v="0"/>
    <x v="0"/>
    <s v="Elite Paper 106"/>
    <x v="1"/>
    <n v="3"/>
    <n v="3625.08"/>
    <n v="0.05"/>
    <n v="10331.48"/>
    <n v="7131.91"/>
    <n v="3199.57"/>
    <s v="Pending"/>
    <x v="1"/>
    <s v="OK"/>
    <s v="OK"/>
    <s v="OK"/>
    <s v="OK"/>
    <n v="4"/>
    <s v="Unique"/>
    <n v="0.05"/>
    <s v="Valid"/>
    <n v="10331.477999999999"/>
    <x v="464"/>
    <n v="0.30969121746181905"/>
    <x v="11"/>
    <x v="1"/>
    <s v="Clean"/>
  </r>
  <r>
    <s v="ORD-2024-10466"/>
    <d v="2024-01-29T00:00:00"/>
    <d v="2024-02-06T00:00:00"/>
    <s v="CUST-1748"/>
    <s v="Aarav Sharma"/>
    <x v="1"/>
    <x v="3"/>
    <s v="Madhya Pradesh"/>
    <s v="Indore"/>
    <x v="0"/>
    <x v="7"/>
    <s v="Eco Labels 914"/>
    <x v="3"/>
    <n v="2"/>
    <n v="1258.9000000000001"/>
    <n v="0"/>
    <n v="2517.8000000000002"/>
    <n v="1478.54"/>
    <n v="1039.26"/>
    <s v="Paid"/>
    <x v="0"/>
    <s v="OK"/>
    <s v="OK"/>
    <s v="OK"/>
    <s v="OK"/>
    <n v="8"/>
    <s v="Unique"/>
    <n v="0"/>
    <s v="Valid"/>
    <n v="2517.8000000000002"/>
    <x v="465"/>
    <n v="0.41276511239971408"/>
    <x v="10"/>
    <x v="0"/>
    <s v="Clean"/>
  </r>
  <r>
    <s v="ORD-2024-10467"/>
    <d v="2024-01-04T00:00:00"/>
    <d v="2024-01-08T00:00:00"/>
    <s v="CUST-2725"/>
    <s v="Mira Das"/>
    <x v="1"/>
    <x v="1"/>
    <s v="Bihar"/>
    <s v="Patna"/>
    <x v="2"/>
    <x v="5"/>
    <s v="Max Accessories 486"/>
    <x v="1"/>
    <n v="9"/>
    <n v="1591.96"/>
    <n v="0.2"/>
    <n v="11462.11"/>
    <n v="7105.48"/>
    <n v="4356.63"/>
    <s v="Paid"/>
    <x v="0"/>
    <s v="OK"/>
    <s v="OK"/>
    <s v="OK"/>
    <s v="OK"/>
    <n v="4"/>
    <s v="Unique"/>
    <n v="0.2"/>
    <s v="Valid"/>
    <n v="11462.112000000001"/>
    <x v="466"/>
    <n v="0.38008981241851425"/>
    <x v="10"/>
    <x v="0"/>
    <s v="Clean"/>
  </r>
  <r>
    <s v="ORD-2024-10468"/>
    <d v="2024-08-20T00:00:00"/>
    <d v="2024-08-21T00:00:00"/>
    <s v="CUST-9470"/>
    <s v="Aditi Sen"/>
    <x v="2"/>
    <x v="1"/>
    <s v="Odisha"/>
    <s v="Bhubaneswar"/>
    <x v="2"/>
    <x v="6"/>
    <s v="Max Copiers 867"/>
    <x v="2"/>
    <n v="5"/>
    <n v="4288.33"/>
    <n v="0.1"/>
    <n v="19297.490000000002"/>
    <n v="15451.66"/>
    <n v="3845.83"/>
    <s v="Refunded"/>
    <x v="1"/>
    <s v="OK"/>
    <s v="OK"/>
    <s v="OK"/>
    <s v="OK"/>
    <n v="1"/>
    <s v="Unique"/>
    <n v="0.1"/>
    <s v="Valid"/>
    <n v="19297.485000000001"/>
    <x v="467"/>
    <n v="0.1992915138941681"/>
    <x v="1"/>
    <x v="0"/>
    <s v="Clean"/>
  </r>
  <r>
    <s v="ORD-2025-10469"/>
    <d v="2025-01-09T00:00:00"/>
    <d v="2025-01-07T00:00:00"/>
    <s v="CUST-4176"/>
    <s v="Aarav Sharma"/>
    <x v="3"/>
    <x v="1"/>
    <s v="West Bengal"/>
    <s v="Kolkata"/>
    <x v="0"/>
    <x v="9"/>
    <s v="Pro Binders 555"/>
    <x v="0"/>
    <n v="3"/>
    <n v="2188.33"/>
    <n v="0"/>
    <n v="6564.99"/>
    <n v="5407.24"/>
    <n v="1157.75"/>
    <s v="Paid"/>
    <x v="0"/>
    <s v="OK"/>
    <s v="OK"/>
    <s v="OK"/>
    <s v="Invalid: Ship Before Order"/>
    <n v="-2"/>
    <s v="Unique"/>
    <n v="0"/>
    <s v="Valid"/>
    <n v="6564.99"/>
    <x v="468"/>
    <n v="0.17635213458055535"/>
    <x v="10"/>
    <x v="1"/>
    <s v="Invalid"/>
  </r>
  <r>
    <s v="ORD-2024-10470"/>
    <d v="2024-01-19T00:00:00"/>
    <d v="2024-01-25T00:00:00"/>
    <s v="CUST-3448"/>
    <s v="Aditi Sen"/>
    <x v="2"/>
    <x v="3"/>
    <s v="Goa"/>
    <s v="Panaji"/>
    <x v="2"/>
    <x v="6"/>
    <s v="Pro Copiers 971"/>
    <x v="2"/>
    <n v="3"/>
    <n v="1041.6600000000001"/>
    <n v="0.1"/>
    <n v="2812.48"/>
    <n v="2282.12"/>
    <n v="530.36"/>
    <s v="Paid"/>
    <x v="0"/>
    <s v="OK"/>
    <s v="OK"/>
    <s v="OK"/>
    <s v="OK"/>
    <n v="6"/>
    <s v="Unique"/>
    <n v="0.1"/>
    <s v="Valid"/>
    <n v="2812.4820000000004"/>
    <x v="469"/>
    <n v="0.18857436243147527"/>
    <x v="10"/>
    <x v="0"/>
    <s v="Clean"/>
  </r>
  <r>
    <s v="ORD-2024-10471"/>
    <d v="2024-07-28T00:00:00"/>
    <d v="2024-07-31T00:00:00"/>
    <s v="CUST-4970"/>
    <s v="Aditi Sen"/>
    <x v="0"/>
    <x v="0"/>
    <s v="Rajasthan"/>
    <s v="Jaipur"/>
    <x v="1"/>
    <x v="1"/>
    <s v="Pro Tables 833"/>
    <x v="1"/>
    <n v="2"/>
    <n v="4424.78"/>
    <n v="0.2"/>
    <n v="7079.65"/>
    <n v="4465.91"/>
    <n v="2613.7399999999998"/>
    <s v="Paid"/>
    <x v="0"/>
    <s v="OK"/>
    <s v="OK"/>
    <s v="OK"/>
    <s v="OK"/>
    <n v="3"/>
    <s v="Unique"/>
    <n v="0.2"/>
    <s v="Valid"/>
    <n v="7079.6480000000001"/>
    <x v="470"/>
    <n v="0.36919038912669105"/>
    <x v="0"/>
    <x v="0"/>
    <s v="Clean"/>
  </r>
  <r>
    <s v="ORD-2024-10472"/>
    <d v="2024-02-11T00:00:00"/>
    <d v="2024-02-15T00:00:00"/>
    <s v="CUST-6147"/>
    <s v="Kabir Singh"/>
    <x v="0"/>
    <x v="2"/>
    <s v="Telangana"/>
    <s v="Hyderabad"/>
    <x v="0"/>
    <x v="9"/>
    <s v="Prime Binders 497"/>
    <x v="3"/>
    <n v="3"/>
    <n v="3019.14"/>
    <n v="0.25"/>
    <n v="6793.07"/>
    <n v="4985.22"/>
    <n v="1807.85"/>
    <s v="Paid"/>
    <x v="0"/>
    <s v="OK"/>
    <s v="OK"/>
    <s v="OK"/>
    <s v="OK"/>
    <n v="4"/>
    <s v="Unique"/>
    <n v="0.25"/>
    <s v="Valid"/>
    <n v="6793.0650000000005"/>
    <x v="471"/>
    <n v="0.26613097327936652"/>
    <x v="6"/>
    <x v="0"/>
    <s v="Clean"/>
  </r>
  <r>
    <s v="ORD-2024-10473"/>
    <d v="2024-03-02T00:00:00"/>
    <d v="2024-03-07T00:00:00"/>
    <s v="CUST-7208"/>
    <s v="Rohan Mehta"/>
    <x v="2"/>
    <x v="1"/>
    <s v="Odisha"/>
    <s v="Bhubaneswar"/>
    <x v="0"/>
    <x v="8"/>
    <s v="Pro Storage 756"/>
    <x v="3"/>
    <n v="7"/>
    <n v="263.45999999999998"/>
    <n v="0"/>
    <n v="1844.22"/>
    <n v="1094.21"/>
    <n v="750.01"/>
    <s v="Paid"/>
    <x v="0"/>
    <s v="OK"/>
    <s v="OK"/>
    <s v="OK"/>
    <s v="OK"/>
    <n v="5"/>
    <s v="Unique"/>
    <n v="0"/>
    <s v="Valid"/>
    <n v="1844.2199999999998"/>
    <x v="472"/>
    <n v="0.40668141544934977"/>
    <x v="11"/>
    <x v="0"/>
    <s v="Clean"/>
  </r>
  <r>
    <s v="ORD-2024-10474"/>
    <d v="2024-11-13T00:00:00"/>
    <d v="2024-11-13T00:00:00"/>
    <s v="CUST-2794"/>
    <s v="Priya Menon"/>
    <x v="0"/>
    <x v="3"/>
    <s v="Goa"/>
    <s v="Panaji"/>
    <x v="2"/>
    <x v="6"/>
    <s v="Max Copiers 829"/>
    <x v="3"/>
    <n v="6"/>
    <n v="191.45"/>
    <n v="0.2"/>
    <n v="918.96"/>
    <n v="554.17999999999995"/>
    <n v="364.78"/>
    <s v="Paid"/>
    <x v="0"/>
    <s v="OK"/>
    <s v="OK"/>
    <s v="OK"/>
    <s v="OK"/>
    <n v="0"/>
    <s v="Unique"/>
    <n v="0.2"/>
    <s v="Valid"/>
    <n v="918.95999999999992"/>
    <x v="473"/>
    <n v="0.39694872464525116"/>
    <x v="3"/>
    <x v="0"/>
    <s v="Clean"/>
  </r>
  <r>
    <s v="ORD-2024-10475"/>
    <d v="2024-06-03T00:00:00"/>
    <d v="2024-06-10T00:00:00"/>
    <s v="CUST-6249"/>
    <s v="Diya Patel"/>
    <x v="2"/>
    <x v="0"/>
    <s v="Punjab"/>
    <s v="Ludhiana"/>
    <x v="1"/>
    <x v="3"/>
    <s v="Prime Furnishings 827"/>
    <x v="3"/>
    <n v="3"/>
    <n v="1633.57"/>
    <n v="0"/>
    <n v="4900.71"/>
    <n v="2713.9"/>
    <n v="2186.81"/>
    <s v="Paid"/>
    <x v="0"/>
    <s v="OK"/>
    <s v="OK"/>
    <s v="OK"/>
    <s v="OK"/>
    <n v="7"/>
    <s v="Unique"/>
    <n v="0"/>
    <s v="Valid"/>
    <n v="4900.71"/>
    <x v="474"/>
    <n v="0.44622309828575857"/>
    <x v="2"/>
    <x v="0"/>
    <s v="Clean"/>
  </r>
  <r>
    <s v="ORD-2025-10476"/>
    <d v="2025-03-01T00:00:00"/>
    <d v="2025-03-08T00:00:00"/>
    <s v="CUST-5712"/>
    <s v="Vikram Iyer"/>
    <x v="0"/>
    <x v="1"/>
    <s v="West Bengal"/>
    <s v="Kolkata"/>
    <x v="1"/>
    <x v="4"/>
    <s v="Eco Chairs 365"/>
    <x v="1"/>
    <n v="8"/>
    <n v="3378.82"/>
    <n v="0.25"/>
    <n v="20272.919999999998"/>
    <n v="15873.38"/>
    <n v="4399.54"/>
    <s v="Pending"/>
    <x v="2"/>
    <s v="OK"/>
    <s v="OK"/>
    <s v="OK"/>
    <s v="OK"/>
    <n v="7"/>
    <s v="Unique"/>
    <n v="0.25"/>
    <s v="Valid"/>
    <n v="20272.920000000002"/>
    <x v="475"/>
    <n v="0.21701560505344086"/>
    <x v="11"/>
    <x v="1"/>
    <s v="Clean"/>
  </r>
  <r>
    <s v="ORD-2024-10477"/>
    <d v="2024-05-07T00:00:00"/>
    <d v="2024-05-14T00:00:00"/>
    <s v="CUST-3004"/>
    <s v="Sneha Kapoor"/>
    <x v="1"/>
    <x v="0"/>
    <s v="Rajasthan"/>
    <s v="Jaipur"/>
    <x v="0"/>
    <x v="8"/>
    <s v="Classic Storage 545"/>
    <x v="2"/>
    <n v="3"/>
    <n v="383.58"/>
    <n v="0.1"/>
    <n v="1035.67"/>
    <n v="595.41999999999996"/>
    <n v="440.25"/>
    <s v="Paid"/>
    <x v="0"/>
    <s v="OK"/>
    <s v="OK"/>
    <s v="OK"/>
    <s v="OK"/>
    <n v="7"/>
    <s v="Unique"/>
    <n v="0.1"/>
    <s v="Valid"/>
    <n v="1035.6659999999999"/>
    <x v="476"/>
    <n v="0.42508492120046426"/>
    <x v="4"/>
    <x v="0"/>
    <s v="Clean"/>
  </r>
  <r>
    <s v="ORD-2025-10478"/>
    <d v="2025-08-23T00:00:00"/>
    <d v="2025-08-28T00:00:00"/>
    <s v="CUST-6920"/>
    <s v="Vikram Iyer"/>
    <x v="2"/>
    <x v="3"/>
    <s v="Gujarat"/>
    <s v="Ahmedabad"/>
    <x v="1"/>
    <x v="4"/>
    <s v="Pro Chairs 186"/>
    <x v="3"/>
    <n v="6"/>
    <n v="2193.23"/>
    <n v="0.1"/>
    <n v="11843.44"/>
    <n v="9356.8799999999992"/>
    <n v="2486.56"/>
    <s v="Paid"/>
    <x v="1"/>
    <s v="OK"/>
    <s v="OK"/>
    <s v="OK"/>
    <s v="OK"/>
    <n v="5"/>
    <s v="Unique"/>
    <n v="0.1"/>
    <s v="Valid"/>
    <n v="11843.442000000001"/>
    <x v="477"/>
    <n v="0.20995264721184953"/>
    <x v="1"/>
    <x v="1"/>
    <s v="Clean"/>
  </r>
  <r>
    <s v="ORD-2024-10479"/>
    <d v="2024-06-09T00:00:00"/>
    <d v="2024-06-13T00:00:00"/>
    <s v="CUST-4838"/>
    <s v="Mira Das"/>
    <x v="3"/>
    <x v="4"/>
    <s v="Uttar Pradesh"/>
    <s v="Noida"/>
    <x v="2"/>
    <x v="12"/>
    <s v="Classic Machines 561"/>
    <x v="1"/>
    <n v="7"/>
    <n v="4079.71"/>
    <n v="0.1"/>
    <n v="25702.17"/>
    <n v="14571.48"/>
    <n v="11130.69"/>
    <s v="Refunded"/>
    <x v="2"/>
    <s v="OK"/>
    <s v="OK"/>
    <s v="OK"/>
    <s v="OK"/>
    <n v="4"/>
    <s v="Unique"/>
    <n v="0.1"/>
    <s v="Valid"/>
    <n v="25702.173000000003"/>
    <x v="478"/>
    <n v="0.43306427826160854"/>
    <x v="2"/>
    <x v="0"/>
    <s v="Warning"/>
  </r>
  <r>
    <s v="ORD-2024-10480"/>
    <d v="2024-02-23T00:00:00"/>
    <d v="2024-02-20T00:00:00"/>
    <s v="CUST-7520"/>
    <s v="Arjun Bose"/>
    <x v="2"/>
    <x v="1"/>
    <s v="Odisha"/>
    <s v="Bhubaneswar"/>
    <x v="1"/>
    <x v="4"/>
    <s v="Max Chairs 594"/>
    <x v="0"/>
    <n v="1"/>
    <n v="2202.5500000000002"/>
    <m/>
    <n v="1651.91"/>
    <n v="1034.57"/>
    <n v="617.34"/>
    <s v="Paid"/>
    <x v="0"/>
    <s v="OK"/>
    <s v="OK"/>
    <s v="OK"/>
    <s v="Invalid: Ship Before Order"/>
    <n v="-3"/>
    <s v="Unique"/>
    <n v="0"/>
    <s v="Missing - Treated as 0"/>
    <n v="2202.5500000000002"/>
    <x v="479"/>
    <n v="0.53028535107035035"/>
    <x v="6"/>
    <x v="0"/>
    <s v="Invalid"/>
  </r>
  <r>
    <s v="ORD-2025-10481"/>
    <d v="2025-01-05T00:00:00"/>
    <d v="2025-01-09T00:00:00"/>
    <s v="CUST-9947"/>
    <s v="Neha Gupta"/>
    <x v="1"/>
    <x v="2"/>
    <s v="Tamil Nadu"/>
    <s v="Chennai"/>
    <x v="0"/>
    <x v="8"/>
    <s v="Eco Storage 923"/>
    <x v="4"/>
    <n v="5"/>
    <n v="905.16"/>
    <n v="0"/>
    <n v="4525.8"/>
    <n v="2714.51"/>
    <n v="1811.29"/>
    <s v="Paid"/>
    <x v="0"/>
    <s v="OK"/>
    <s v="OK"/>
    <s v="OK"/>
    <s v="OK"/>
    <n v="4"/>
    <s v="Unique"/>
    <n v="0"/>
    <s v="Valid"/>
    <n v="4525.8"/>
    <x v="480"/>
    <n v="0.40021432674886204"/>
    <x v="10"/>
    <x v="1"/>
    <s v="Warning"/>
  </r>
  <r>
    <s v="ORD-2025-10482"/>
    <d v="2025-06-05T00:00:00"/>
    <d v="2025-06-13T00:00:00"/>
    <s v="CUST-4403"/>
    <s v="Isha Nair"/>
    <x v="0"/>
    <x v="0"/>
    <s v="Uttar Pradesh"/>
    <s v="Noida"/>
    <x v="2"/>
    <x v="12"/>
    <s v="Classic Machines 287"/>
    <x v="1"/>
    <n v="4"/>
    <n v="2793.88"/>
    <s v="85%"/>
    <n v="10616.74"/>
    <n v="6353.59"/>
    <n v="4263.1499999999996"/>
    <s v="Paid"/>
    <x v="0"/>
    <s v="OK"/>
    <s v="OK"/>
    <s v="OK"/>
    <s v="OK"/>
    <n v="8"/>
    <s v="Unique"/>
    <n v="0.85"/>
    <s v="Invalid: Above Allowed Range (Text Format)"/>
    <n v="1676.3280000000002"/>
    <x v="481"/>
    <n v="-2.7901830667983827"/>
    <x v="2"/>
    <x v="1"/>
    <s v="Invalid"/>
  </r>
  <r>
    <s v="ORD-2024-10483"/>
    <d v="2024-07-22T00:00:00"/>
    <d v="2024-07-22T00:00:00"/>
    <s v="CUST-3583"/>
    <s v="Priya Menon"/>
    <x v="0"/>
    <x v="2"/>
    <s v="Karnataka"/>
    <s v="Bengaluru"/>
    <x v="2"/>
    <x v="5"/>
    <s v="Basic Accessories 518"/>
    <x v="0"/>
    <n v="3"/>
    <n v="1286.22"/>
    <n v="0.25"/>
    <n v="2893.99"/>
    <n v="1856.03"/>
    <n v="1037.96"/>
    <s v="Paid"/>
    <x v="0"/>
    <s v="OK"/>
    <s v="OK"/>
    <s v="OK"/>
    <s v="OK"/>
    <n v="0"/>
    <s v="Unique"/>
    <n v="0.25"/>
    <s v="Valid"/>
    <n v="2893.9949999999999"/>
    <x v="482"/>
    <n v="0.35866164247001114"/>
    <x v="0"/>
    <x v="0"/>
    <s v="Clean"/>
  </r>
  <r>
    <s v="ORD-2024-10484"/>
    <d v="2024-12-25T00:00:00"/>
    <d v="2024-12-25T00:00:00"/>
    <s v="CUST-9432"/>
    <s v="Mira Das"/>
    <x v="2"/>
    <x v="1"/>
    <s v="Bihar"/>
    <s v="Patna"/>
    <x v="2"/>
    <x v="6"/>
    <s v="Pro Copiers 984"/>
    <x v="3"/>
    <n v="1"/>
    <n v="829.66"/>
    <n v="0.15"/>
    <n v="705.21"/>
    <n v="438.32"/>
    <n v="266.89"/>
    <s v="Paid"/>
    <x v="0"/>
    <s v="OK"/>
    <s v="OK"/>
    <s v="OK"/>
    <s v="OK"/>
    <n v="0"/>
    <s v="Unique"/>
    <n v="0.15"/>
    <s v="Valid"/>
    <n v="705.2109999999999"/>
    <x v="483"/>
    <n v="0.37845552607659261"/>
    <x v="8"/>
    <x v="0"/>
    <s v="Clean"/>
  </r>
  <r>
    <s v="ORD-2024-10485"/>
    <d v="2024-12-28T00:00:00"/>
    <d v="2024-12-31T00:00:00"/>
    <s v="CUST-1801"/>
    <s v="Mira Das"/>
    <x v="1"/>
    <x v="2"/>
    <s v="Andhra Pradesh"/>
    <s v="Vijayawada"/>
    <x v="1"/>
    <x v="3"/>
    <s v="Max Furnishings 297"/>
    <x v="2"/>
    <n v="6"/>
    <n v="3641.22"/>
    <n v="0.25"/>
    <n v="16385.490000000002"/>
    <n v="13679.24"/>
    <n v="2706.25"/>
    <s v="Paid"/>
    <x v="0"/>
    <s v="OK"/>
    <s v="OK"/>
    <s v="OK"/>
    <s v="OK"/>
    <n v="3"/>
    <s v="Unique"/>
    <n v="0.25"/>
    <s v="Valid"/>
    <n v="16385.489999999998"/>
    <x v="484"/>
    <n v="0.16516137143289572"/>
    <x v="8"/>
    <x v="0"/>
    <s v="Clean"/>
  </r>
  <r>
    <s v="ORD-2025-10486"/>
    <d v="2025-01-22T00:00:00"/>
    <d v="2025-01-23T00:00:00"/>
    <s v="CUST-1594"/>
    <s v="Rahul Verma"/>
    <x v="2"/>
    <x v="3"/>
    <s v="Goa"/>
    <s v="Panaji"/>
    <x v="1"/>
    <x v="10"/>
    <s v="Elite Bookcases 802"/>
    <x v="3"/>
    <n v="4"/>
    <n v="2555.19"/>
    <n v="0.25"/>
    <n v="7665.57"/>
    <n v="5595.6"/>
    <n v="2069.9699999999998"/>
    <s v="Paid"/>
    <x v="0"/>
    <s v="OK"/>
    <s v="OK"/>
    <s v="OK"/>
    <s v="OK"/>
    <n v="1"/>
    <s v="Unique"/>
    <n v="0.25"/>
    <s v="Valid"/>
    <n v="7665.57"/>
    <x v="485"/>
    <n v="0.27003471366121495"/>
    <x v="10"/>
    <x v="1"/>
    <s v="Clean"/>
  </r>
  <r>
    <s v="ORD-2025-10487"/>
    <d v="2025-06-22T00:00:00"/>
    <d v="2025-06-26T00:00:00"/>
    <s v="CUST-8132"/>
    <s v="Rahul Verma"/>
    <x v="2"/>
    <x v="3"/>
    <s v="Goa"/>
    <s v="Panaji"/>
    <x v="1"/>
    <x v="1"/>
    <s v="Pro Tables 257"/>
    <x v="3"/>
    <n v="3"/>
    <n v="1946.18"/>
    <n v="0.2"/>
    <n v="4670.83"/>
    <n v="3166.49"/>
    <n v="1504.34"/>
    <s v="Paid"/>
    <x v="0"/>
    <s v="OK"/>
    <s v="OK"/>
    <s v="OK"/>
    <s v="OK"/>
    <n v="4"/>
    <s v="Unique"/>
    <n v="0.2"/>
    <s v="Valid"/>
    <n v="4670.8320000000003"/>
    <x v="486"/>
    <n v="0.3220715281560117"/>
    <x v="2"/>
    <x v="1"/>
    <s v="Clean"/>
  </r>
  <r>
    <s v="ORD-2025-10488"/>
    <d v="2025-06-10T00:00:00"/>
    <d v="2025-06-17T00:00:00"/>
    <s v="CUST-7685"/>
    <s v="Rahul Verma"/>
    <x v="2"/>
    <x v="2"/>
    <s v="Telangana"/>
    <s v="Hyderabad"/>
    <x v="1"/>
    <x v="3"/>
    <s v="Prime Furnishings 299"/>
    <x v="3"/>
    <n v="5"/>
    <n v="1231.0999999999999"/>
    <n v="0"/>
    <n v="6155.5"/>
    <n v="4282.09"/>
    <n v="1873.41"/>
    <s v="Refunded"/>
    <x v="2"/>
    <s v="OK"/>
    <s v="OK"/>
    <s v="OK"/>
    <s v="OK"/>
    <n v="7"/>
    <s v="Unique"/>
    <n v="0"/>
    <s v="Valid"/>
    <n v="6155.5"/>
    <x v="487"/>
    <n v="0.3043473316546178"/>
    <x v="2"/>
    <x v="1"/>
    <s v="Clean"/>
  </r>
  <r>
    <s v="ORD-2024-10489"/>
    <d v="2024-10-14T00:00:00"/>
    <d v="2024-10-20T00:00:00"/>
    <s v="CUST-2183"/>
    <s v="Aditi Sen"/>
    <x v="1"/>
    <x v="0"/>
    <s v="Rajasthan"/>
    <s v="Jaipur"/>
    <x v="1"/>
    <x v="1"/>
    <s v="Eco Tables 487"/>
    <x v="1"/>
    <n v="7"/>
    <n v="1547.6"/>
    <n v="0.2"/>
    <n v="8666.56"/>
    <n v="5967.44"/>
    <n v="2699.12"/>
    <s v="Paid"/>
    <x v="0"/>
    <s v="OK"/>
    <s v="OK"/>
    <s v="OK"/>
    <s v="OK"/>
    <n v="6"/>
    <s v="Unique"/>
    <n v="0.2"/>
    <s v="Valid"/>
    <n v="8666.56"/>
    <x v="488"/>
    <n v="0.31144075619392242"/>
    <x v="9"/>
    <x v="0"/>
    <s v="Clean"/>
  </r>
  <r>
    <s v="ORD-2024-10490"/>
    <d v="2024-02-07T00:00:00"/>
    <d v="2024-02-12T00:00:00"/>
    <s v="CUST-1636"/>
    <s v="Arjun Bose"/>
    <x v="3"/>
    <x v="1"/>
    <s v="West Bengal"/>
    <s v="Kolkata"/>
    <x v="2"/>
    <x v="5"/>
    <s v="Prime Accessories 960"/>
    <x v="0"/>
    <n v="1"/>
    <n v="452.19"/>
    <n v="0.2"/>
    <n v="361.75"/>
    <n v="262.52999999999997"/>
    <n v="99.22"/>
    <s v="Paid"/>
    <x v="0"/>
    <s v="OK"/>
    <s v="OK"/>
    <s v="OK"/>
    <s v="OK"/>
    <n v="5"/>
    <s v="Unique"/>
    <n v="0.2"/>
    <s v="Valid"/>
    <n v="361.75200000000001"/>
    <x v="489"/>
    <n v="0.27428182843495003"/>
    <x v="6"/>
    <x v="0"/>
    <s v="Clean"/>
  </r>
  <r>
    <s v="ORD-2024-10491"/>
    <d v="2024-09-16T00:00:00"/>
    <d v="2024-09-19T00:00:00"/>
    <s v="CUST-1350"/>
    <s v="Aditi Sen"/>
    <x v="0"/>
    <x v="3"/>
    <s v="Rajasthan"/>
    <s v="Udaipur"/>
    <x v="0"/>
    <x v="9"/>
    <s v="Smart Binders 191"/>
    <x v="2"/>
    <n v="7"/>
    <n v="406.42"/>
    <n v="0.15"/>
    <n v="2418.1999999999998"/>
    <n v="1613.82"/>
    <n v="804.38"/>
    <s v="Paid"/>
    <x v="0"/>
    <s v="OK"/>
    <s v="OK"/>
    <s v="OK"/>
    <s v="OK"/>
    <n v="3"/>
    <s v="Unique"/>
    <n v="0.15"/>
    <s v="Valid"/>
    <n v="2418.1990000000001"/>
    <x v="490"/>
    <n v="0.33263556886757462"/>
    <x v="7"/>
    <x v="0"/>
    <s v="Clean"/>
  </r>
  <r>
    <s v="ORD-2025-10492"/>
    <d v="2025-04-29T00:00:00"/>
    <d v="2025-04-30T00:00:00"/>
    <s v="CUST-4101"/>
    <s v="Mira Das"/>
    <x v="2"/>
    <x v="2"/>
    <s v="Kerala"/>
    <s v="Kochi"/>
    <x v="2"/>
    <x v="5"/>
    <s v="Prime Accessories 118"/>
    <x v="3"/>
    <n v="4"/>
    <n v="606.58000000000004"/>
    <n v="0.2"/>
    <n v="1941.06"/>
    <n v="1207.42"/>
    <n v="733.64"/>
    <s v="Paid"/>
    <x v="0"/>
    <s v="OK"/>
    <s v="OK"/>
    <s v="OK"/>
    <s v="OK"/>
    <n v="1"/>
    <s v="Unique"/>
    <n v="0.2"/>
    <s v="Valid"/>
    <n v="1941.0560000000003"/>
    <x v="491"/>
    <n v="0.37795715321969076"/>
    <x v="5"/>
    <x v="1"/>
    <s v="Clean"/>
  </r>
  <r>
    <s v="ORD-2025-10493"/>
    <d v="2025-06-28T00:00:00"/>
    <d v="2025-07-02T00:00:00"/>
    <s v="CUST-4679"/>
    <s v="Ananya Rao"/>
    <x v="2"/>
    <x v="2"/>
    <s v="Andhra Pradesh"/>
    <s v="Vijayawada"/>
    <x v="0"/>
    <x v="8"/>
    <s v="Elite Storage 331"/>
    <x v="0"/>
    <n v="2"/>
    <n v="2725.44"/>
    <n v="0.25"/>
    <n v="4088.16"/>
    <n v="3205.68"/>
    <n v="882.48"/>
    <s v="Paid"/>
    <x v="0"/>
    <s v="OK"/>
    <s v="OK"/>
    <s v="OK"/>
    <s v="OK"/>
    <n v="4"/>
    <s v="Unique"/>
    <n v="0.25"/>
    <s v="Valid"/>
    <n v="4088.16"/>
    <x v="492"/>
    <n v="0.21586239286133616"/>
    <x v="2"/>
    <x v="1"/>
    <s v="Clean"/>
  </r>
  <r>
    <s v="ORD-2025-10494"/>
    <d v="2025-02-13T00:00:00"/>
    <d v="2025-02-13T00:00:00"/>
    <s v="CUST-3765"/>
    <s v="Kabir Singh"/>
    <x v="2"/>
    <x v="1"/>
    <s v="Odisha"/>
    <s v="Bhubaneswar"/>
    <x v="0"/>
    <x v="0"/>
    <s v="Prime Paper 996"/>
    <x v="0"/>
    <n v="7"/>
    <n v="2296.6999999999998"/>
    <n v="0.05"/>
    <n v="15273.05"/>
    <n v="11088.76"/>
    <n v="4184.29"/>
    <s v="Paid"/>
    <x v="0"/>
    <s v="OK"/>
    <s v="OK"/>
    <s v="OK"/>
    <s v="OK"/>
    <n v="0"/>
    <s v="Unique"/>
    <n v="0.05"/>
    <s v="Valid"/>
    <n v="15273.054999999997"/>
    <x v="493"/>
    <n v="0.27396581757873573"/>
    <x v="6"/>
    <x v="1"/>
    <s v="Clean"/>
  </r>
  <r>
    <s v="ORD-2024-10495"/>
    <d v="2024-11-14T00:00:00"/>
    <d v="2024-11-22T00:00:00"/>
    <s v="CUST-9056"/>
    <s v="Isha Nair"/>
    <x v="0"/>
    <x v="3"/>
    <s v="Madhya Pradesh"/>
    <s v="Indore"/>
    <x v="2"/>
    <x v="11"/>
    <s v="Smart Phones 125"/>
    <x v="3"/>
    <n v="3"/>
    <n v="671.68"/>
    <n v="-0.13"/>
    <n v="1712.78"/>
    <n v="1569.38"/>
    <n v="360.66"/>
    <s v="Failed"/>
    <x v="1"/>
    <s v="OK"/>
    <s v="OK"/>
    <s v="OK"/>
    <s v="OK"/>
    <n v="8"/>
    <s v="Unique"/>
    <n v="-0.13"/>
    <s v="Invalid: Negative Discount"/>
    <n v="2276.9951999999998"/>
    <x v="494"/>
    <n v="0.31076710218800629"/>
    <x v="3"/>
    <x v="0"/>
    <s v="Invalid"/>
  </r>
  <r>
    <s v="ORD-2024-10496"/>
    <d v="2024-05-09T00:00:00"/>
    <d v="2024-05-15T00:00:00"/>
    <s v="CUST-9801"/>
    <s v="Mira Das"/>
    <x v="1"/>
    <x v="1"/>
    <s v="Assam"/>
    <s v="Guwahati"/>
    <x v="2"/>
    <x v="11"/>
    <s v="Eco Phones 220"/>
    <x v="0"/>
    <n v="4"/>
    <n v="995.98"/>
    <n v="0.05"/>
    <n v="3784.72"/>
    <n v="2419.2399999999998"/>
    <n v="1365.48"/>
    <s v="Refunded"/>
    <x v="2"/>
    <s v="OK"/>
    <s v="OK"/>
    <s v="OK"/>
    <s v="OK"/>
    <n v="6"/>
    <s v="Unique"/>
    <n v="0.05"/>
    <s v="Valid"/>
    <n v="3784.7239999999997"/>
    <x v="495"/>
    <n v="0.36078826355633858"/>
    <x v="4"/>
    <x v="0"/>
    <s v="Clean"/>
  </r>
  <r>
    <s v="ORD-2025-10497"/>
    <d v="2025-07-04T00:00:00"/>
    <d v="2025-07-06T00:00:00"/>
    <s v="CUST-2038"/>
    <s v="Kabir Singh"/>
    <x v="1"/>
    <x v="1"/>
    <s v="Jharkhand"/>
    <s v="Ranchi"/>
    <x v="1"/>
    <x v="4"/>
    <s v="Eco Chairs 795"/>
    <x v="0"/>
    <n v="2"/>
    <n v="3686.42"/>
    <n v="0.1"/>
    <n v="6635.56"/>
    <n v="3652.91"/>
    <n v="2982.65"/>
    <s v="Paid"/>
    <x v="0"/>
    <s v="OK"/>
    <s v="OK"/>
    <s v="OK"/>
    <s v="OK"/>
    <n v="2"/>
    <s v="Unique"/>
    <n v="0.1"/>
    <s v="Valid"/>
    <n v="6635.5560000000005"/>
    <x v="496"/>
    <n v="0.44949451108543131"/>
    <x v="0"/>
    <x v="1"/>
    <s v="Clean"/>
  </r>
  <r>
    <s v="ORD-2024-10498"/>
    <d v="2024-08-29T00:00:00"/>
    <d v="2024-08-29T00:00:00"/>
    <s v="CUST-1567"/>
    <s v="Sneha Kapoor"/>
    <x v="1"/>
    <x v="0"/>
    <s v="Uttar Pradesh"/>
    <s v="Noida"/>
    <x v="2"/>
    <x v="5"/>
    <s v="Smart Accessories 896"/>
    <x v="0"/>
    <n v="1"/>
    <n v="3106.88"/>
    <n v="0.2"/>
    <n v="2485.5"/>
    <n v="2028.43"/>
    <n v="457.07"/>
    <s v="Paid"/>
    <x v="1"/>
    <s v="OK"/>
    <s v="OK"/>
    <s v="OK"/>
    <s v="OK"/>
    <n v="0"/>
    <s v="Unique"/>
    <n v="0.2"/>
    <s v="Valid"/>
    <n v="2485.5040000000004"/>
    <x v="497"/>
    <n v="0.18389590199814615"/>
    <x v="1"/>
    <x v="0"/>
    <s v="Clean"/>
  </r>
  <r>
    <s v="ORD-2025-10499"/>
    <d v="2025-09-07T00:00:00"/>
    <d v="2025-09-10T00:00:00"/>
    <s v="CUST-1190"/>
    <s v="Karan Malhotra"/>
    <x v="0"/>
    <x v="0"/>
    <s v="Punjab"/>
    <s v="Ludhiana"/>
    <x v="1"/>
    <x v="4"/>
    <s v="Basic Chairs 255"/>
    <x v="1"/>
    <n v="2"/>
    <n v="447.55"/>
    <n v="0.05"/>
    <n v="850.35"/>
    <n v="600.98"/>
    <n v="249.37"/>
    <s v="Refunded"/>
    <x v="1"/>
    <s v="OK"/>
    <s v="OK"/>
    <s v="OK"/>
    <s v="OK"/>
    <n v="3"/>
    <s v="Unique"/>
    <n v="0.05"/>
    <s v="Valid"/>
    <n v="850.34500000000003"/>
    <x v="498"/>
    <n v="0.29325156260106194"/>
    <x v="7"/>
    <x v="1"/>
    <s v="Clean"/>
  </r>
  <r>
    <s v="ORD-2024-10500"/>
    <d v="2024-12-22T00:00:00"/>
    <d v="2024-12-26T00:00:00"/>
    <s v="CUST-5604"/>
    <s v="Rahul Verma"/>
    <x v="3"/>
    <x v="0"/>
    <s v="Uttar Pradesh"/>
    <s v="Noida"/>
    <x v="1"/>
    <x v="4"/>
    <s v="Eco Chairs 210"/>
    <x v="3"/>
    <n v="9"/>
    <n v="1110.8699999999999"/>
    <m/>
    <n v="7498.37"/>
    <n v="6059.07"/>
    <n v="1439.3"/>
    <s v="Paid"/>
    <x v="1"/>
    <s v="OK"/>
    <s v="OK"/>
    <s v="OK"/>
    <s v="OK"/>
    <n v="4"/>
    <s v="Unique"/>
    <n v="0"/>
    <s v="Missing - Treated as 0"/>
    <n v="9997.8299999999981"/>
    <x v="499"/>
    <n v="0.3939614896432525"/>
    <x v="8"/>
    <x v="0"/>
    <s v="Warning"/>
  </r>
  <r>
    <s v="ORD-2024-10501"/>
    <d v="2024-05-17T00:00:00"/>
    <d v="2024-05-22T00:00:00"/>
    <s v="CUST-7661"/>
    <s v="Sneha Kapoor"/>
    <x v="0"/>
    <x v="2"/>
    <s v="Kerala"/>
    <s v="Kochi"/>
    <x v="2"/>
    <x v="11"/>
    <s v="Prime Phones 533"/>
    <x v="1"/>
    <n v="9"/>
    <n v="3795.99"/>
    <s v="85%"/>
    <n v="34163.910000000003"/>
    <n v="28577.15"/>
    <n v="5586.76"/>
    <s v="Paid"/>
    <x v="0"/>
    <s v="OK"/>
    <s v="OK"/>
    <s v="OK"/>
    <s v="OK"/>
    <n v="5"/>
    <s v="Unique"/>
    <n v="0.85"/>
    <s v="Invalid: Above Allowed Range (Text Format)"/>
    <n v="5124.5865000000003"/>
    <x v="500"/>
    <n v="-4.5764791949555343"/>
    <x v="4"/>
    <x v="0"/>
    <s v="Invalid"/>
  </r>
  <r>
    <s v="ORD-2024-10502"/>
    <d v="2024-08-11T00:00:00"/>
    <d v="2024-08-17T00:00:00"/>
    <s v="CUST-3710"/>
    <s v="Neha Gupta"/>
    <x v="0"/>
    <x v="1"/>
    <s v="Jharkhand"/>
    <s v="Ranchi"/>
    <x v="0"/>
    <x v="2"/>
    <s v="Elite Art 325"/>
    <x v="0"/>
    <n v="6"/>
    <n v="3497.54"/>
    <n v="0.15"/>
    <n v="17837.45"/>
    <n v="13627.02"/>
    <n v="4210.43"/>
    <s v="Paid"/>
    <x v="0"/>
    <s v="OK"/>
    <s v="OK"/>
    <s v="OK"/>
    <s v="OK"/>
    <n v="6"/>
    <s v="Unique"/>
    <n v="0.15"/>
    <s v="Valid"/>
    <n v="17837.453999999998"/>
    <x v="501"/>
    <n v="0.23604456106796395"/>
    <x v="1"/>
    <x v="0"/>
    <s v="Clean"/>
  </r>
  <r>
    <s v="ORD-2024-10503"/>
    <d v="2024-04-01T00:00:00"/>
    <d v="2024-04-09T00:00:00"/>
    <s v="CUST-1534"/>
    <s v="Priya Menon"/>
    <x v="1"/>
    <x v="1"/>
    <s v="Odisha"/>
    <s v="Bhubaneswar"/>
    <x v="2"/>
    <x v="6"/>
    <s v="Prime Copiers 557"/>
    <x v="0"/>
    <n v="6"/>
    <n v="826.93"/>
    <n v="0.1"/>
    <n v="4465.42"/>
    <n v="3377.1"/>
    <n v="1088.32"/>
    <s v="Paid"/>
    <x v="0"/>
    <s v="OK"/>
    <s v="OK"/>
    <s v="OK"/>
    <s v="OK"/>
    <n v="8"/>
    <s v="Unique"/>
    <n v="0.1"/>
    <s v="Valid"/>
    <n v="4465.4220000000005"/>
    <x v="502"/>
    <n v="0.24372209390288319"/>
    <x v="5"/>
    <x v="0"/>
    <s v="Clean"/>
  </r>
  <r>
    <s v="ORD-2024-10504"/>
    <d v="2024-09-28T00:00:00"/>
    <d v="2024-10-05T00:00:00"/>
    <s v="CUST-7422"/>
    <s v="Aarav Sharma"/>
    <x v="0"/>
    <x v="2"/>
    <s v="Tamil Nadu"/>
    <s v="Chennai"/>
    <x v="2"/>
    <x v="11"/>
    <s v="Smart Phones 674"/>
    <x v="3"/>
    <n v="7"/>
    <n v="1681.6"/>
    <n v="0.1"/>
    <n v="10594.08"/>
    <n v="7160.31"/>
    <n v="3433.77"/>
    <s v="Paid"/>
    <x v="0"/>
    <s v="OK"/>
    <s v="OK"/>
    <s v="OK"/>
    <s v="OK"/>
    <n v="7"/>
    <s v="Unique"/>
    <n v="0.1"/>
    <s v="Valid"/>
    <n v="10594.08"/>
    <x v="503"/>
    <n v="0.32412158488514337"/>
    <x v="7"/>
    <x v="0"/>
    <s v="Clean"/>
  </r>
  <r>
    <s v="ORD-2025-10505"/>
    <d v="2025-02-12T00:00:00"/>
    <d v="2025-02-17T00:00:00"/>
    <s v="CUST-9693"/>
    <s v="Arjun Bose"/>
    <x v="2"/>
    <x v="3"/>
    <s v="Gujarat"/>
    <s v="Ahmedabad"/>
    <x v="0"/>
    <x v="2"/>
    <s v="Elite Art 553"/>
    <x v="3"/>
    <n v="4"/>
    <n v="4328.12"/>
    <n v="0"/>
    <n v="17312.48"/>
    <n v="14424.22"/>
    <n v="2888.26"/>
    <s v="Paid"/>
    <x v="0"/>
    <s v="OK"/>
    <s v="OK"/>
    <s v="OK"/>
    <s v="OK"/>
    <n v="5"/>
    <s v="Unique"/>
    <n v="0"/>
    <s v="Valid"/>
    <n v="17312.48"/>
    <x v="504"/>
    <n v="0.16683109525613893"/>
    <x v="6"/>
    <x v="1"/>
    <s v="Clean"/>
  </r>
  <r>
    <s v="ORD-2024-10506"/>
    <d v="2024-11-09T00:00:00"/>
    <d v="2024-11-14T00:00:00"/>
    <s v="CUST-5458"/>
    <s v="Neha Gupta"/>
    <x v="2"/>
    <x v="3"/>
    <s v="Madhya Pradesh"/>
    <s v="Indore"/>
    <x v="0"/>
    <x v="2"/>
    <s v="Classic Art 339"/>
    <x v="2"/>
    <n v="9"/>
    <n v="2438.29"/>
    <n v="0.2"/>
    <n v="17555.689999999999"/>
    <n v="13293.2"/>
    <n v="4262.49"/>
    <s v="Paid"/>
    <x v="1"/>
    <s v="OK"/>
    <s v="OK"/>
    <s v="OK"/>
    <s v="OK"/>
    <n v="5"/>
    <s v="Unique"/>
    <n v="0.2"/>
    <s v="Valid"/>
    <n v="17555.688000000002"/>
    <x v="505"/>
    <n v="0.24279811762432785"/>
    <x v="3"/>
    <x v="0"/>
    <s v="Clean"/>
  </r>
  <r>
    <s v="ORD-2024-10507"/>
    <d v="2024-12-15T00:00:00"/>
    <d v="2024-12-15T00:00:00"/>
    <s v="CUST-3011"/>
    <s v="Aarav Sharma"/>
    <x v="1"/>
    <x v="0"/>
    <s v="Punjab"/>
    <s v="Ludhiana"/>
    <x v="1"/>
    <x v="3"/>
    <s v="Smart Furnishings 352"/>
    <x v="2"/>
    <n v="2"/>
    <n v="669.8"/>
    <n v="0.1"/>
    <n v="1205.6400000000001"/>
    <n v="842.07"/>
    <n v="363.57"/>
    <s v="Refunded"/>
    <x v="2"/>
    <s v="OK"/>
    <s v="OK"/>
    <s v="OK"/>
    <s v="OK"/>
    <n v="0"/>
    <s v="Unique"/>
    <n v="0.1"/>
    <s v="Valid"/>
    <n v="1205.6399999999999"/>
    <x v="506"/>
    <n v="0.30155767890912699"/>
    <x v="8"/>
    <x v="0"/>
    <s v="Clean"/>
  </r>
  <r>
    <s v="ORD-2025-10508"/>
    <d v="2025-04-15T00:00:00"/>
    <d v="2025-04-22T00:00:00"/>
    <s v="CUST-1826"/>
    <s v="Isha Nair"/>
    <x v="1"/>
    <x v="0"/>
    <s v="Haryana"/>
    <s v="Gurugram"/>
    <x v="0"/>
    <x v="9"/>
    <s v="Classic Binders 602"/>
    <x v="1"/>
    <n v="4"/>
    <n v="2990.42"/>
    <n v="0.25"/>
    <n v="8971.26"/>
    <n v="6814.35"/>
    <n v="2156.91"/>
    <s v="Paid"/>
    <x v="0"/>
    <s v="OK"/>
    <s v="OK"/>
    <s v="OK"/>
    <s v="OK"/>
    <n v="7"/>
    <s v="Unique"/>
    <n v="0.25"/>
    <s v="Valid"/>
    <n v="8971.26"/>
    <x v="507"/>
    <n v="0.24042442198754688"/>
    <x v="5"/>
    <x v="1"/>
    <s v="Clean"/>
  </r>
  <r>
    <s v="ORD-2024-10509"/>
    <d v="2024-03-31T00:00:00"/>
    <d v="2024-04-07T00:00:00"/>
    <s v="CUST-3333"/>
    <s v="Isha Nair"/>
    <x v="1"/>
    <x v="0"/>
    <s v="Haryana"/>
    <s v="Gurugram"/>
    <x v="2"/>
    <x v="12"/>
    <s v="Smart Machines 853"/>
    <x v="0"/>
    <n v="4"/>
    <n v="1831"/>
    <n v="0"/>
    <n v="7324"/>
    <n v="4179.63"/>
    <n v="3144.37"/>
    <s v="Paid"/>
    <x v="0"/>
    <s v="OK"/>
    <s v="OK"/>
    <s v="OK"/>
    <s v="OK"/>
    <n v="7"/>
    <s v="Unique"/>
    <n v="0"/>
    <s v="Valid"/>
    <n v="7324"/>
    <x v="508"/>
    <n v="0.42932413981430911"/>
    <x v="11"/>
    <x v="0"/>
    <s v="Clean"/>
  </r>
  <r>
    <s v="ORD-2025-10510"/>
    <d v="2025-05-12T00:00:00"/>
    <d v="2025-05-14T00:00:00"/>
    <s v="CUST-7901"/>
    <s v="Neha Gupta"/>
    <x v="0"/>
    <x v="3"/>
    <s v="Gujarat"/>
    <s v="Ahmedabad"/>
    <x v="2"/>
    <x v="12"/>
    <s v="Classic Machines 599"/>
    <x v="1"/>
    <n v="8"/>
    <n v="3631.44"/>
    <n v="0.2"/>
    <n v="23241.22"/>
    <n v="17220.900000000001"/>
    <n v="6020.32"/>
    <s v="Paid"/>
    <x v="0"/>
    <s v="OK"/>
    <s v="OK"/>
    <s v="OK"/>
    <s v="OK"/>
    <n v="2"/>
    <s v="Unique"/>
    <n v="0.2"/>
    <s v="Valid"/>
    <n v="23241.216"/>
    <x v="509"/>
    <n v="0.25903618812371948"/>
    <x v="4"/>
    <x v="1"/>
    <s v="Clean"/>
  </r>
  <r>
    <s v="ORD-2024-10511"/>
    <d v="2024-10-18T00:00:00"/>
    <d v="2024-10-21T00:00:00"/>
    <s v="CUST-9759"/>
    <s v="Aarav Sharma"/>
    <x v="0"/>
    <x v="2"/>
    <s v="Karnataka"/>
    <s v="Bengaluru"/>
    <x v="0"/>
    <x v="8"/>
    <s v="Pro Storage 373"/>
    <x v="0"/>
    <n v="2"/>
    <n v="4238.51"/>
    <n v="0"/>
    <n v="8477.02"/>
    <n v="6884.96"/>
    <n v="1592.06"/>
    <s v="Paid"/>
    <x v="0"/>
    <s v="OK"/>
    <s v="OK"/>
    <s v="OK"/>
    <s v="OK"/>
    <n v="3"/>
    <s v="Unique"/>
    <n v="0"/>
    <s v="Valid"/>
    <n v="8477.02"/>
    <x v="510"/>
    <n v="0.18780892341884298"/>
    <x v="9"/>
    <x v="0"/>
    <s v="Clean"/>
  </r>
  <r>
    <s v="ORD-2024-10512"/>
    <d v="2024-10-23T00:00:00"/>
    <d v="2024-10-26T00:00:00"/>
    <s v="CUST-7232"/>
    <s v="Sneha Kapoor"/>
    <x v="0"/>
    <x v="3"/>
    <s v="Madhya Pradesh"/>
    <s v="Indore"/>
    <x v="1"/>
    <x v="10"/>
    <s v="Smart Bookcases 920"/>
    <x v="3"/>
    <n v="9"/>
    <n v="544.27"/>
    <n v="0.25"/>
    <n v="3673.82"/>
    <n v="2088.15"/>
    <n v="1585.67"/>
    <s v="Paid"/>
    <x v="0"/>
    <s v="OK"/>
    <s v="OK"/>
    <s v="OK"/>
    <s v="OK"/>
    <n v="3"/>
    <s v="Unique"/>
    <n v="0.25"/>
    <s v="Valid"/>
    <n v="3673.8225000000002"/>
    <x v="511"/>
    <n v="0.43161380278987349"/>
    <x v="9"/>
    <x v="0"/>
    <s v="Clean"/>
  </r>
  <r>
    <s v="ORD-2025-10513"/>
    <d v="2025-03-02T00:00:00"/>
    <d v="2025-03-03T00:00:00"/>
    <s v="CUST-9943"/>
    <s v="Isha Nair"/>
    <x v="2"/>
    <x v="2"/>
    <s v="Kerala"/>
    <s v="Kochi"/>
    <x v="0"/>
    <x v="7"/>
    <s v="Pro Labels 849"/>
    <x v="0"/>
    <n v="2"/>
    <n v="4031.45"/>
    <n v="0.25"/>
    <n v="6047.17"/>
    <n v="3368.79"/>
    <n v="2678.38"/>
    <s v="Paid"/>
    <x v="0"/>
    <s v="OK"/>
    <s v="OK"/>
    <s v="OK"/>
    <s v="OK"/>
    <n v="1"/>
    <s v="Unique"/>
    <n v="0.25"/>
    <s v="Valid"/>
    <n v="6047.1749999999993"/>
    <x v="512"/>
    <n v="0.44291508018206843"/>
    <x v="11"/>
    <x v="1"/>
    <s v="Clean"/>
  </r>
  <r>
    <s v="ORD-2025-10514"/>
    <d v="2025-06-27T00:00:00"/>
    <d v="2025-07-02T00:00:00"/>
    <s v="CUST-8993"/>
    <s v="Aarav Sharma"/>
    <x v="2"/>
    <x v="2"/>
    <s v="Kerala"/>
    <s v="Kochi"/>
    <x v="2"/>
    <x v="5"/>
    <s v="Prime Accessories 849"/>
    <x v="2"/>
    <n v="6"/>
    <n v="1099.49"/>
    <n v="0.1"/>
    <n v="6212.38"/>
    <n v="4088.46"/>
    <n v="1848.79"/>
    <s v="Paid"/>
    <x v="0"/>
    <s v="OK"/>
    <s v="OK"/>
    <s v="OK"/>
    <s v="OK"/>
    <n v="5"/>
    <s v="Unique"/>
    <n v="0.1"/>
    <s v="Valid"/>
    <n v="5937.246000000001"/>
    <x v="513"/>
    <n v="0.31138780505304997"/>
    <x v="2"/>
    <x v="1"/>
    <s v="Clean"/>
  </r>
  <r>
    <s v="ORD-2024-10515"/>
    <d v="2024-11-18T00:00:00"/>
    <d v="2024-11-22T00:00:00"/>
    <s v="CUST-7729"/>
    <s v="Karan Malhotra"/>
    <x v="3"/>
    <x v="2"/>
    <s v="Kerala"/>
    <s v="Kochi"/>
    <x v="2"/>
    <x v="5"/>
    <s v="Smart Accessories 388"/>
    <x v="3"/>
    <n v="6"/>
    <n v="3872.94"/>
    <n v="0.1"/>
    <n v="20913.88"/>
    <n v="11684.68"/>
    <n v="9229.2000000000007"/>
    <s v="Paid"/>
    <x v="0"/>
    <s v="OK"/>
    <s v="OK"/>
    <s v="OK"/>
    <s v="OK"/>
    <n v="4"/>
    <s v="Unique"/>
    <n v="0.1"/>
    <s v="Valid"/>
    <n v="20913.876"/>
    <x v="514"/>
    <n v="0.44129533903710627"/>
    <x v="3"/>
    <x v="0"/>
    <s v="Clean"/>
  </r>
  <r>
    <s v="ORD-2025-10516"/>
    <d v="2025-04-11T00:00:00"/>
    <d v="2025-04-11T00:00:00"/>
    <s v="CUST-9986"/>
    <s v="Rahul Verma"/>
    <x v="2"/>
    <x v="0"/>
    <s v="Delhi"/>
    <s v="New Delhi"/>
    <x v="0"/>
    <x v="0"/>
    <s v="Classic Paper 752"/>
    <x v="3"/>
    <n v="1"/>
    <n v="4458.49"/>
    <n v="-7.0000000000000007E-2"/>
    <n v="3566.79"/>
    <n v="2083.41"/>
    <n v="1483.38"/>
    <s v="Paid"/>
    <x v="0"/>
    <s v="OK"/>
    <s v="OK"/>
    <s v="OK"/>
    <s v="OK"/>
    <n v="0"/>
    <s v="Unique"/>
    <n v="-7.0000000000000007E-2"/>
    <s v="Invalid: Negative Discount"/>
    <n v="4770.5843000000004"/>
    <x v="515"/>
    <n v="0.56327991101635089"/>
    <x v="5"/>
    <x v="1"/>
    <s v="Invalid"/>
  </r>
  <r>
    <s v="ORD-2024-10517"/>
    <d v="2024-09-28T00:00:00"/>
    <d v="2024-10-04T00:00:00"/>
    <s v="CUST-2731"/>
    <s v="Kabir Singh"/>
    <x v="3"/>
    <x v="0"/>
    <s v="Delhi"/>
    <s v="New Delhi"/>
    <x v="2"/>
    <x v="6"/>
    <s v="Classic Copiers 143"/>
    <x v="3"/>
    <n v="1"/>
    <n v="2233.1799999999998"/>
    <n v="0"/>
    <n v="2233.1799999999998"/>
    <n v="1585.82"/>
    <n v="647.36"/>
    <s v="Failed"/>
    <x v="2"/>
    <s v="OK"/>
    <s v="OK"/>
    <s v="OK"/>
    <s v="OK"/>
    <n v="6"/>
    <s v="Unique"/>
    <n v="0"/>
    <s v="Valid"/>
    <n v="2233.1799999999998"/>
    <x v="516"/>
    <n v="0.28988258895386843"/>
    <x v="7"/>
    <x v="0"/>
    <s v="Clean"/>
  </r>
  <r>
    <s v="ORD-2025-10518"/>
    <d v="2025-05-25T00:00:00"/>
    <d v="2025-05-27T00:00:00"/>
    <s v="CUST-4235"/>
    <s v="Rahul Verma"/>
    <x v="0"/>
    <x v="1"/>
    <s v="Odisha"/>
    <s v="Bhubaneswar"/>
    <x v="1"/>
    <x v="3"/>
    <s v="Basic Furnishings 386"/>
    <x v="0"/>
    <n v="7"/>
    <n v="2123.2800000000002"/>
    <n v="0.2"/>
    <n v="11890.37"/>
    <n v="9234.5300000000007"/>
    <n v="2655.84"/>
    <s v="Refunded"/>
    <x v="2"/>
    <s v="OK"/>
    <s v="OK"/>
    <s v="OK"/>
    <s v="OK"/>
    <n v="2"/>
    <s v="Unique"/>
    <n v="0.2"/>
    <s v="Valid"/>
    <n v="11890.368000000002"/>
    <x v="517"/>
    <n v="0.22336045444514427"/>
    <x v="4"/>
    <x v="1"/>
    <s v="Clean"/>
  </r>
  <r>
    <s v="ORD-2025-10519"/>
    <d v="2025-04-30T00:00:00"/>
    <d v="2025-04-26T00:00:00"/>
    <s v="CUST-3377"/>
    <s v="Diya Patel"/>
    <x v="2"/>
    <x v="1"/>
    <s v="Odisha"/>
    <s v="Bhubaneswar"/>
    <x v="1"/>
    <x v="1"/>
    <s v="Classic Tables 592"/>
    <x v="2"/>
    <n v="7"/>
    <n v="1604.13"/>
    <n v="0.25"/>
    <n v="8421.68"/>
    <n v="6534.47"/>
    <n v="1887.21"/>
    <s v="Paid"/>
    <x v="1"/>
    <s v="OK"/>
    <s v="OK"/>
    <s v="OK"/>
    <s v="Invalid: Ship Before Order"/>
    <n v="-4"/>
    <s v="Unique"/>
    <n v="0.25"/>
    <s v="Valid"/>
    <n v="8421.682499999999"/>
    <x v="518"/>
    <n v="0.22408972316398759"/>
    <x v="5"/>
    <x v="1"/>
    <s v="Invalid"/>
  </r>
  <r>
    <s v="ORD-2025-10520"/>
    <d v="2025-07-03T00:00:00"/>
    <d v="2025-07-07T00:00:00"/>
    <s v="CUST-3258"/>
    <s v="Priya Menon"/>
    <x v="0"/>
    <x v="0"/>
    <s v="Uttar Pradesh"/>
    <s v="Noida"/>
    <x v="1"/>
    <x v="1"/>
    <s v="Pro Tables 412"/>
    <x v="3"/>
    <n v="4"/>
    <n v="4365.21"/>
    <n v="0.2"/>
    <n v="13968.67"/>
    <n v="8857.58"/>
    <n v="5111.09"/>
    <s v="Pending"/>
    <x v="1"/>
    <s v="OK"/>
    <s v="OK"/>
    <s v="OK"/>
    <s v="OK"/>
    <n v="4"/>
    <s v="Unique"/>
    <n v="0.2"/>
    <s v="Valid"/>
    <n v="13968.672"/>
    <x v="519"/>
    <n v="0.36589677243477409"/>
    <x v="0"/>
    <x v="1"/>
    <s v="Clean"/>
  </r>
  <r>
    <s v="ORD-2024-10521"/>
    <d v="2024-07-16T00:00:00"/>
    <d v="2024-07-23T00:00:00"/>
    <s v="CUST-2155"/>
    <s v="Aarav Sharma"/>
    <x v="3"/>
    <x v="2"/>
    <s v="Karnataka"/>
    <s v="Bengaluru"/>
    <x v="2"/>
    <x v="12"/>
    <s v="Prime Machines 393"/>
    <x v="1"/>
    <n v="1"/>
    <n v="1695.91"/>
    <n v="0.05"/>
    <n v="1611.11"/>
    <n v="895.15"/>
    <n v="715.96"/>
    <s v="Paid"/>
    <x v="0"/>
    <s v="OK"/>
    <s v="OK"/>
    <s v="OK"/>
    <s v="OK"/>
    <n v="7"/>
    <s v="Unique"/>
    <n v="0.05"/>
    <s v="Valid"/>
    <n v="1611.1144999999999"/>
    <x v="520"/>
    <n v="0.44439082386757739"/>
    <x v="0"/>
    <x v="0"/>
    <s v="Clean"/>
  </r>
  <r>
    <s v="ORD-2025-10522"/>
    <d v="2025-03-25T00:00:00"/>
    <d v="2025-04-01T00:00:00"/>
    <s v="CUST-8012"/>
    <s v="Diya Patel"/>
    <x v="0"/>
    <x v="0"/>
    <s v="Punjab"/>
    <s v="Ludhiana"/>
    <x v="0"/>
    <x v="7"/>
    <s v="Classic Labels 776"/>
    <x v="0"/>
    <n v="6"/>
    <n v="2192.11"/>
    <n v="0.05"/>
    <n v="12495.03"/>
    <n v="9184.52"/>
    <n v="3310.51"/>
    <s v="Paid"/>
    <x v="0"/>
    <s v="OK"/>
    <s v="OK"/>
    <s v="OK"/>
    <s v="OK"/>
    <n v="7"/>
    <s v="Unique"/>
    <n v="0.05"/>
    <s v="Valid"/>
    <n v="12495.027"/>
    <x v="521"/>
    <n v="0.26494596610315446"/>
    <x v="11"/>
    <x v="1"/>
    <s v="Clean"/>
  </r>
  <r>
    <s v="ORD-2025-10523"/>
    <d v="2025-02-28T00:00:00"/>
    <d v="2025-03-08T00:00:00"/>
    <s v="CUST-2917"/>
    <s v="Neha Gupta"/>
    <x v="1"/>
    <x v="1"/>
    <s v="Jharkhand"/>
    <s v="Ranchi"/>
    <x v="2"/>
    <x v="11"/>
    <s v="Max Phones 612"/>
    <x v="2"/>
    <n v="9"/>
    <n v="3670.54"/>
    <n v="0"/>
    <n v="33034.86"/>
    <n v="24539.83"/>
    <n v="8495.0300000000007"/>
    <s v="Paid"/>
    <x v="0"/>
    <s v="OK"/>
    <s v="OK"/>
    <s v="OK"/>
    <s v="OK"/>
    <n v="8"/>
    <s v="Unique"/>
    <n v="0"/>
    <s v="Valid"/>
    <n v="33034.86"/>
    <x v="522"/>
    <n v="0.25715350390466307"/>
    <x v="6"/>
    <x v="1"/>
    <s v="Clean"/>
  </r>
  <r>
    <s v="ORD-2024-10524"/>
    <d v="2024-04-02T00:00:00"/>
    <d v="2024-04-03T00:00:00"/>
    <s v="CUST-4653"/>
    <s v="Kabir Singh"/>
    <x v="3"/>
    <x v="3"/>
    <s v="Goa"/>
    <s v="Panaji"/>
    <x v="0"/>
    <x v="0"/>
    <s v="Basic Paper 315"/>
    <x v="0"/>
    <n v="2"/>
    <n v="2902.63"/>
    <n v="0"/>
    <n v="5805.26"/>
    <n v="4654.3599999999997"/>
    <n v="1150.9000000000001"/>
    <s v="Paid"/>
    <x v="2"/>
    <s v="OK"/>
    <s v="OK"/>
    <s v="OK"/>
    <s v="OK"/>
    <n v="1"/>
    <s v="Unique"/>
    <n v="0"/>
    <s v="Valid"/>
    <n v="5805.26"/>
    <x v="523"/>
    <n v="0.19825124111581574"/>
    <x v="5"/>
    <x v="0"/>
    <s v="Clean"/>
  </r>
  <r>
    <s v="ORD-2024-10525"/>
    <d v="2024-11-30T00:00:00"/>
    <d v="2024-12-01T00:00:00"/>
    <s v="CUST-3311"/>
    <s v="Ananya Rao"/>
    <x v="2"/>
    <x v="3"/>
    <s v="Gujarat"/>
    <s v="Ahmedabad"/>
    <x v="1"/>
    <x v="4"/>
    <s v="Basic Chairs 333"/>
    <x v="2"/>
    <n v="9"/>
    <n v="4207.3599999999997"/>
    <n v="0.1"/>
    <n v="34079.620000000003"/>
    <n v="21871.39"/>
    <n v="12208.23"/>
    <s v="Paid"/>
    <x v="0"/>
    <s v="OK"/>
    <s v="OK"/>
    <s v="OK"/>
    <s v="OK"/>
    <n v="1"/>
    <s v="Unique"/>
    <n v="0.1"/>
    <s v="Valid"/>
    <n v="34079.616000000002"/>
    <x v="524"/>
    <n v="0.35822663025311091"/>
    <x v="3"/>
    <x v="0"/>
    <s v="Clean"/>
  </r>
  <r>
    <s v="ORD-2024-10526"/>
    <d v="2024-10-17T00:00:00"/>
    <d v="2024-10-17T00:00:00"/>
    <s v="CUST-2924"/>
    <s v="Priya Menon"/>
    <x v="3"/>
    <x v="1"/>
    <s v="West Bengal"/>
    <s v="Kolkata"/>
    <x v="1"/>
    <x v="4"/>
    <s v="Prime Chairs 215"/>
    <x v="3"/>
    <n v="5"/>
    <n v="2524.4"/>
    <n v="0.1"/>
    <n v="11359.8"/>
    <n v="7062.44"/>
    <n v="4297.3599999999997"/>
    <s v="Paid"/>
    <x v="0"/>
    <s v="OK"/>
    <s v="OK"/>
    <s v="OK"/>
    <s v="OK"/>
    <n v="0"/>
    <s v="Unique"/>
    <n v="0.1"/>
    <s v="Valid"/>
    <n v="11359.800000000001"/>
    <x v="525"/>
    <n v="0.37829539252451638"/>
    <x v="9"/>
    <x v="0"/>
    <s v="Clean"/>
  </r>
  <r>
    <s v="ORD-2025-10527"/>
    <d v="2025-07-18T00:00:00"/>
    <d v="2025-07-21T00:00:00"/>
    <s v="CUST-7198"/>
    <s v="Priya Menon"/>
    <x v="0"/>
    <x v="1"/>
    <s v="Odisha"/>
    <s v="Bhubaneswar"/>
    <x v="1"/>
    <x v="1"/>
    <s v="Elite Tables 815"/>
    <x v="0"/>
    <n v="4"/>
    <n v="284.04000000000002"/>
    <m/>
    <n v="908.93"/>
    <n v="572.08000000000004"/>
    <n v="336.85"/>
    <s v="Paid"/>
    <x v="0"/>
    <s v="OK"/>
    <s v="OK"/>
    <s v="OK"/>
    <s v="OK"/>
    <n v="3"/>
    <s v="Unique"/>
    <n v="0"/>
    <s v="Missing - Treated as 0"/>
    <n v="1136.1600000000001"/>
    <x v="526"/>
    <n v="0.49647936910294327"/>
    <x v="0"/>
    <x v="1"/>
    <s v="Warning"/>
  </r>
  <r>
    <s v="ORD-2025-10528"/>
    <d v="2025-10-01T00:00:00"/>
    <d v="2025-10-05T00:00:00"/>
    <s v="CUST-3419"/>
    <s v="Aditi Sen"/>
    <x v="3"/>
    <x v="0"/>
    <s v="Haryana"/>
    <s v="Gurugram"/>
    <x v="0"/>
    <x v="0"/>
    <s v="Basic Paper 388"/>
    <x v="2"/>
    <n v="5"/>
    <n v="3247.56"/>
    <n v="0.15"/>
    <n v="13802.13"/>
    <n v="10075.93"/>
    <n v="3726.2"/>
    <s v="Paid"/>
    <x v="0"/>
    <s v="OK"/>
    <s v="OK"/>
    <s v="OK"/>
    <s v="OK"/>
    <n v="4"/>
    <s v="Unique"/>
    <n v="0.15"/>
    <s v="Valid"/>
    <n v="13802.13"/>
    <x v="527"/>
    <n v="0.26997282303528508"/>
    <x v="9"/>
    <x v="1"/>
    <s v="Clean"/>
  </r>
  <r>
    <s v="ORD-2024-10529"/>
    <d v="2024-10-07T00:00:00"/>
    <d v="2024-10-09T00:00:00"/>
    <s v="CUST-2390"/>
    <s v="Diya Patel"/>
    <x v="0"/>
    <x v="2"/>
    <s v="Tamil Nadu"/>
    <s v="Chennai"/>
    <x v="0"/>
    <x v="9"/>
    <s v="Eco Binders 855"/>
    <x v="3"/>
    <n v="9"/>
    <n v="3457.09"/>
    <n v="0.05"/>
    <n v="29558.12"/>
    <n v="21302.13"/>
    <n v="8255.99"/>
    <s v="Pending"/>
    <x v="2"/>
    <s v="OK"/>
    <s v="OK"/>
    <s v="OK"/>
    <s v="OK"/>
    <n v="2"/>
    <s v="Unique"/>
    <n v="0.05"/>
    <s v="Valid"/>
    <n v="29558.119500000001"/>
    <x v="528"/>
    <n v="0.27931376013281223"/>
    <x v="9"/>
    <x v="0"/>
    <s v="Clean"/>
  </r>
  <r>
    <s v="ORD-2024-10530"/>
    <d v="2024-02-06T00:00:00"/>
    <d v="2024-02-08T00:00:00"/>
    <s v="CUST-3362"/>
    <s v="Karan Malhotra"/>
    <x v="0"/>
    <x v="1"/>
    <s v="Jharkhand"/>
    <s v="Ranchi"/>
    <x v="1"/>
    <x v="10"/>
    <s v="Classic Bookcases 947"/>
    <x v="0"/>
    <n v="9"/>
    <n v="1822.25"/>
    <n v="0"/>
    <n v="16400.25"/>
    <n v="12146.96"/>
    <n v="4253.29"/>
    <s v="Paid"/>
    <x v="0"/>
    <s v="OK"/>
    <s v="OK"/>
    <s v="OK"/>
    <s v="OK"/>
    <n v="2"/>
    <s v="Unique"/>
    <n v="0"/>
    <s v="Valid"/>
    <n v="16400.25"/>
    <x v="529"/>
    <n v="0.25934299782015524"/>
    <x v="6"/>
    <x v="0"/>
    <s v="Clean"/>
  </r>
  <r>
    <s v="ORD-2025-10531"/>
    <d v="2025-05-30T00:00:00"/>
    <d v="2025-06-01T00:00:00"/>
    <s v="CUST-8177"/>
    <s v="Rahul Verma"/>
    <x v="3"/>
    <x v="2"/>
    <s v="Tamil Nadu"/>
    <s v="Chennai"/>
    <x v="0"/>
    <x v="9"/>
    <s v="Eco Binders 352"/>
    <x v="3"/>
    <n v="9"/>
    <n v="1994.51"/>
    <n v="0.05"/>
    <n v="17053.060000000001"/>
    <n v="10742.38"/>
    <n v="6310.68"/>
    <s v="Paid"/>
    <x v="0"/>
    <s v="OK"/>
    <s v="OK"/>
    <s v="OK"/>
    <s v="OK"/>
    <n v="2"/>
    <s v="Unique"/>
    <n v="0.05"/>
    <s v="Valid"/>
    <n v="17053.0605"/>
    <x v="530"/>
    <n v="0.37006146198801093"/>
    <x v="4"/>
    <x v="1"/>
    <s v="Clean"/>
  </r>
  <r>
    <s v="ORD-2024-10532"/>
    <d v="2024-08-01T00:00:00"/>
    <d v="2024-08-08T00:00:00"/>
    <s v="CUST-6357"/>
    <s v="Diya Patel"/>
    <x v="1"/>
    <x v="3"/>
    <s v="Maharashtra"/>
    <s v="Mumbai"/>
    <x v="0"/>
    <x v="8"/>
    <s v="Pro Storage 364"/>
    <x v="4"/>
    <n v="1"/>
    <n v="442.97"/>
    <n v="0.1"/>
    <n v="398.67"/>
    <n v="311.66000000000003"/>
    <n v="87.01"/>
    <s v="Paid"/>
    <x v="0"/>
    <s v="OK"/>
    <s v="OK"/>
    <s v="OK"/>
    <s v="OK"/>
    <n v="7"/>
    <s v="Unique"/>
    <n v="0.1"/>
    <s v="Valid"/>
    <n v="398.67300000000006"/>
    <x v="531"/>
    <n v="0.21825656615822997"/>
    <x v="1"/>
    <x v="0"/>
    <s v="Warning"/>
  </r>
  <r>
    <s v="ORD-2025-10533"/>
    <d v="2025-10-05T00:00:00"/>
    <d v="2025-10-10T00:00:00"/>
    <s v="CUST-7690"/>
    <s v="Priya Menon"/>
    <x v="2"/>
    <x v="1"/>
    <s v="Assam"/>
    <s v="Guwahati"/>
    <x v="1"/>
    <x v="1"/>
    <s v="Classic Tables 213"/>
    <x v="0"/>
    <n v="9"/>
    <n v="2089.14"/>
    <n v="0.05"/>
    <n v="17862.150000000001"/>
    <n v="9892.2099999999991"/>
    <n v="7969.94"/>
    <s v="Failed"/>
    <x v="1"/>
    <s v="OK"/>
    <s v="OK"/>
    <s v="OK"/>
    <s v="OK"/>
    <n v="5"/>
    <s v="Unique"/>
    <n v="0.05"/>
    <s v="Valid"/>
    <n v="17862.146999999997"/>
    <x v="532"/>
    <n v="0.44619143488182017"/>
    <x v="9"/>
    <x v="1"/>
    <s v="Clean"/>
  </r>
  <r>
    <s v="ORD-2024-10534"/>
    <d v="2024-08-25T00:00:00"/>
    <d v="2024-09-01T00:00:00"/>
    <s v="CUST-4487"/>
    <s v="Isha Nair"/>
    <x v="3"/>
    <x v="0"/>
    <s v="Rajasthan"/>
    <s v="Jaipur"/>
    <x v="1"/>
    <x v="1"/>
    <s v="Smart Tables 659"/>
    <x v="1"/>
    <n v="6"/>
    <n v="481.3"/>
    <n v="0.25"/>
    <n v="2165.85"/>
    <n v="2124.48"/>
    <n v="430.45"/>
    <s v="Paid"/>
    <x v="0"/>
    <s v="OK"/>
    <s v="OK"/>
    <s v="OK"/>
    <s v="OK"/>
    <n v="7"/>
    <s v="Unique"/>
    <n v="0.25"/>
    <s v="Valid"/>
    <n v="2165.8500000000004"/>
    <x v="533"/>
    <n v="1.91010457787937E-2"/>
    <x v="1"/>
    <x v="0"/>
    <s v="Clean"/>
  </r>
  <r>
    <s v="ORD-2025-10535"/>
    <d v="2025-04-27T00:00:00"/>
    <d v="2025-05-05T00:00:00"/>
    <s v="CUST-8204"/>
    <s v="Rohan Mehta"/>
    <x v="3"/>
    <x v="1"/>
    <s v="Bihar"/>
    <s v="Patna"/>
    <x v="2"/>
    <x v="5"/>
    <s v="Classic Accessories 325"/>
    <x v="0"/>
    <n v="4"/>
    <n v="3963.39"/>
    <n v="0.1"/>
    <n v="14268.2"/>
    <n v="11705.3"/>
    <n v="2562.9"/>
    <s v="Pending"/>
    <x v="2"/>
    <s v="OK"/>
    <s v="OK"/>
    <s v="OK"/>
    <s v="OK"/>
    <n v="8"/>
    <s v="Unique"/>
    <n v="0.1"/>
    <s v="Valid"/>
    <n v="14268.204"/>
    <x v="534"/>
    <n v="0.17962344805274724"/>
    <x v="5"/>
    <x v="1"/>
    <s v="Clean"/>
  </r>
  <r>
    <s v="ORD-2024-10536"/>
    <d v="2024-05-19T00:00:00"/>
    <d v="2024-05-21T00:00:00"/>
    <s v="CUST-1729"/>
    <s v="Diya Patel"/>
    <x v="1"/>
    <x v="3"/>
    <s v="Maharashtra"/>
    <s v="Mumbai"/>
    <x v="2"/>
    <x v="6"/>
    <s v="Eco Copiers 243"/>
    <x v="2"/>
    <n v="3"/>
    <n v="4000.98"/>
    <n v="0.2"/>
    <n v="9602.35"/>
    <n v="7387.57"/>
    <n v="2214.7800000000002"/>
    <s v="Paid"/>
    <x v="0"/>
    <s v="OK"/>
    <s v="OK"/>
    <s v="OK"/>
    <s v="OK"/>
    <n v="2"/>
    <s v="Unique"/>
    <n v="0.2"/>
    <s v="Valid"/>
    <n v="9602.3520000000008"/>
    <x v="535"/>
    <n v="0.23064994909580494"/>
    <x v="4"/>
    <x v="0"/>
    <s v="Clean"/>
  </r>
  <r>
    <s v="ORD-2025-10537"/>
    <d v="2025-04-10T00:00:00"/>
    <d v="2025-04-17T00:00:00"/>
    <s v="CUST-4269"/>
    <s v="Ananya Rao"/>
    <x v="1"/>
    <x v="3"/>
    <s v="Rajasthan"/>
    <s v="Udaipur"/>
    <x v="1"/>
    <x v="4"/>
    <s v="Elite Chairs 777"/>
    <x v="2"/>
    <n v="7"/>
    <n v="3788.9"/>
    <n v="0.25"/>
    <n v="19891.72"/>
    <n v="12295.76"/>
    <n v="7595.96"/>
    <s v="Failed"/>
    <x v="1"/>
    <s v="OK"/>
    <s v="OK"/>
    <s v="OK"/>
    <s v="OK"/>
    <n v="7"/>
    <s v="Unique"/>
    <n v="0.25"/>
    <s v="Valid"/>
    <n v="19891.724999999999"/>
    <x v="536"/>
    <n v="0.38186557475533162"/>
    <x v="5"/>
    <x v="1"/>
    <s v="Clean"/>
  </r>
  <r>
    <s v="ORD-2024-10538"/>
    <d v="2024-01-22T00:00:00"/>
    <d v="2024-01-30T00:00:00"/>
    <s v="CUST-1370"/>
    <s v="Ananya Rao"/>
    <x v="1"/>
    <x v="0"/>
    <s v="Haryana"/>
    <s v="Gurugram"/>
    <x v="0"/>
    <x v="2"/>
    <s v="Classic Art 772"/>
    <x v="1"/>
    <n v="3"/>
    <n v="676.37"/>
    <n v="0.05"/>
    <n v="1927.65"/>
    <n v="1460.6"/>
    <n v="467.05"/>
    <s v="Failed"/>
    <x v="1"/>
    <s v="OK"/>
    <s v="OK"/>
    <s v="OK"/>
    <s v="OK"/>
    <n v="8"/>
    <s v="Unique"/>
    <n v="0.05"/>
    <s v="Valid"/>
    <n v="1927.6545000000001"/>
    <x v="537"/>
    <n v="0.24229160360427668"/>
    <x v="10"/>
    <x v="0"/>
    <s v="Clean"/>
  </r>
  <r>
    <s v="ORD-2024-10539"/>
    <d v="2024-09-25T00:00:00"/>
    <d v="2024-10-01T00:00:00"/>
    <s v="CUST-5381"/>
    <s v="Diya Patel"/>
    <x v="1"/>
    <x v="1"/>
    <s v="Jharkhand"/>
    <s v="Ranchi"/>
    <x v="1"/>
    <x v="1"/>
    <s v="Elite Tables 888"/>
    <x v="0"/>
    <n v="9"/>
    <n v="3908.6"/>
    <n v="0.15"/>
    <n v="29900.79"/>
    <n v="24650.67"/>
    <n v="5250.12"/>
    <s v="Paid"/>
    <x v="0"/>
    <s v="OK"/>
    <s v="OK"/>
    <s v="OK"/>
    <s v="OK"/>
    <n v="6"/>
    <s v="Unique"/>
    <n v="0.15"/>
    <s v="Valid"/>
    <n v="29900.79"/>
    <x v="538"/>
    <n v="0.17558465846554563"/>
    <x v="7"/>
    <x v="0"/>
    <s v="Clean"/>
  </r>
  <r>
    <s v="ORD-2025-10540"/>
    <d v="2025-07-04T00:00:00"/>
    <d v="2025-07-04T00:00:00"/>
    <s v="CUST-3694"/>
    <s v="Mira Das"/>
    <x v="1"/>
    <x v="2"/>
    <s v="Tamil Nadu"/>
    <s v="Chennai"/>
    <x v="1"/>
    <x v="4"/>
    <s v="Classic Chairs 666"/>
    <x v="3"/>
    <n v="3"/>
    <n v="705.35"/>
    <n v="0.1"/>
    <n v="1904.45"/>
    <n v="1316.54"/>
    <n v="587.91"/>
    <s v="Paid"/>
    <x v="1"/>
    <s v="OK"/>
    <s v="OK"/>
    <s v="OK"/>
    <s v="OK"/>
    <n v="0"/>
    <s v="Unique"/>
    <n v="0.1"/>
    <s v="Valid"/>
    <n v="1904.4450000000002"/>
    <x v="539"/>
    <n v="0.30870148520960183"/>
    <x v="0"/>
    <x v="1"/>
    <s v="Clean"/>
  </r>
  <r>
    <s v="ORD-2024-10541"/>
    <d v="2024-02-26T00:00:00"/>
    <d v="2024-02-23T00:00:00"/>
    <s v="CUST-7563"/>
    <s v="Kabir Singh"/>
    <x v="0"/>
    <x v="3"/>
    <s v="Gujarat"/>
    <s v="Ahmedabad"/>
    <x v="1"/>
    <x v="3"/>
    <s v="Basic Furnishings 350"/>
    <x v="3"/>
    <n v="7"/>
    <n v="3852.07"/>
    <n v="0.2"/>
    <n v="21571.59"/>
    <n v="17118.07"/>
    <n v="4453.5200000000004"/>
    <s v="Paid"/>
    <x v="0"/>
    <s v="OK"/>
    <s v="OK"/>
    <s v="OK"/>
    <s v="Invalid: Ship Before Order"/>
    <n v="-3"/>
    <s v="Unique"/>
    <n v="0.2"/>
    <s v="Valid"/>
    <n v="21571.592000000004"/>
    <x v="540"/>
    <n v="0.20645309813017063"/>
    <x v="6"/>
    <x v="0"/>
    <s v="Invalid"/>
  </r>
  <r>
    <s v="ORD-2025-10542"/>
    <d v="2025-07-08T00:00:00"/>
    <d v="2025-07-09T00:00:00"/>
    <s v="CUST-4188"/>
    <s v="Sneha Kapoor"/>
    <x v="0"/>
    <x v="3"/>
    <s v="Maharashtra"/>
    <s v="Mumbai"/>
    <x v="2"/>
    <x v="6"/>
    <s v="Elite Copiers 831"/>
    <x v="1"/>
    <n v="3"/>
    <n v="2880.56"/>
    <n v="0"/>
    <n v="8641.68"/>
    <n v="5747.09"/>
    <n v="2894.59"/>
    <s v="Paid"/>
    <x v="2"/>
    <s v="OK"/>
    <s v="OK"/>
    <s v="OK"/>
    <s v="OK"/>
    <n v="1"/>
    <s v="Unique"/>
    <n v="0"/>
    <s v="Valid"/>
    <n v="8641.68"/>
    <x v="541"/>
    <n v="0.33495686024013849"/>
    <x v="0"/>
    <x v="1"/>
    <s v="Clean"/>
  </r>
  <r>
    <s v="ORD-2024-10543"/>
    <d v="2024-09-17T00:00:00"/>
    <d v="2024-09-23T00:00:00"/>
    <s v="CUST-9376"/>
    <s v="Rahul Verma"/>
    <x v="3"/>
    <x v="2"/>
    <s v="Kerala"/>
    <s v="Kochi"/>
    <x v="1"/>
    <x v="10"/>
    <s v="Eco Bookcases 759"/>
    <x v="0"/>
    <n v="3"/>
    <n v="4067.62"/>
    <n v="0.2"/>
    <n v="9988.5300000000007"/>
    <n v="8368.24"/>
    <n v="1394.05"/>
    <s v="Paid"/>
    <x v="1"/>
    <s v="OK"/>
    <s v="OK"/>
    <s v="OK"/>
    <s v="OK"/>
    <n v="6"/>
    <s v="Unique"/>
    <n v="0.2"/>
    <s v="Valid"/>
    <n v="9762.2880000000005"/>
    <x v="542"/>
    <n v="0.14279931098119628"/>
    <x v="7"/>
    <x v="0"/>
    <s v="Clean"/>
  </r>
  <r>
    <s v="ORD-2024-10544"/>
    <d v="2024-07-14T00:00:00"/>
    <d v="2024-07-20T00:00:00"/>
    <s v="CUST-9094"/>
    <s v="Mira Das"/>
    <x v="0"/>
    <x v="1"/>
    <s v="Bihar"/>
    <s v="Patna"/>
    <x v="2"/>
    <x v="6"/>
    <s v="Max Copiers 440"/>
    <x v="1"/>
    <n v="1"/>
    <n v="492.67"/>
    <n v="0.15"/>
    <n v="418.77"/>
    <n v="313.72000000000003"/>
    <n v="105.05"/>
    <s v="Paid"/>
    <x v="0"/>
    <s v="OK"/>
    <s v="OK"/>
    <s v="OK"/>
    <s v="OK"/>
    <n v="6"/>
    <s v="Unique"/>
    <n v="0.15"/>
    <s v="Valid"/>
    <n v="418.76949999999999"/>
    <x v="543"/>
    <n v="0.25085279610859906"/>
    <x v="0"/>
    <x v="0"/>
    <s v="Clean"/>
  </r>
  <r>
    <s v="ORD-2025-10545"/>
    <d v="2025-01-29T00:00:00"/>
    <d v="2025-02-05T00:00:00"/>
    <s v="CUST-2366"/>
    <s v="Ananya Rao"/>
    <x v="0"/>
    <x v="2"/>
    <s v="Kerala"/>
    <s v="Kochi"/>
    <x v="0"/>
    <x v="2"/>
    <s v="Smart Art 201"/>
    <x v="1"/>
    <n v="8"/>
    <n v="3643.62"/>
    <n v="0.25"/>
    <n v="21861.72"/>
    <n v="18464.34"/>
    <n v="3397.38"/>
    <s v="Paid"/>
    <x v="1"/>
    <s v="OK"/>
    <s v="OK"/>
    <s v="OK"/>
    <s v="OK"/>
    <n v="7"/>
    <s v="Unique"/>
    <n v="0.25"/>
    <s v="Valid"/>
    <n v="21861.72"/>
    <x v="544"/>
    <n v="0.1554031430280875"/>
    <x v="10"/>
    <x v="1"/>
    <s v="Clean"/>
  </r>
  <r>
    <s v="ORD-2024-10546"/>
    <d v="2024-05-27T00:00:00"/>
    <d v="2024-05-30T00:00:00"/>
    <s v="CUST-7168"/>
    <s v="Kabir Singh"/>
    <x v="1"/>
    <x v="1"/>
    <s v="Jharkhand"/>
    <s v="Ranchi"/>
    <x v="0"/>
    <x v="8"/>
    <s v="Classic Storage 755"/>
    <x v="1"/>
    <n v="7"/>
    <n v="2900.86"/>
    <n v="0.15"/>
    <n v="17260.12"/>
    <n v="13513.51"/>
    <n v="3746.61"/>
    <s v="Paid"/>
    <x v="0"/>
    <s v="OK"/>
    <s v="OK"/>
    <s v="OK"/>
    <s v="OK"/>
    <n v="3"/>
    <s v="Unique"/>
    <n v="0.15"/>
    <s v="Valid"/>
    <n v="17260.116999999998"/>
    <x v="545"/>
    <n v="0.21706730029697935"/>
    <x v="4"/>
    <x v="0"/>
    <s v="Clean"/>
  </r>
  <r>
    <s v="ORD-2025-10547"/>
    <d v="2025-08-14T00:00:00"/>
    <d v="2025-08-22T00:00:00"/>
    <s v="CUST-8157"/>
    <s v="Arjun Bose"/>
    <x v="2"/>
    <x v="3"/>
    <s v="Gujarat"/>
    <s v="Ahmedabad"/>
    <x v="0"/>
    <x v="0"/>
    <s v="Prime Paper 143"/>
    <x v="2"/>
    <n v="5"/>
    <n v="2567.37"/>
    <n v="0.15"/>
    <n v="10911.32"/>
    <n v="6966.44"/>
    <n v="4395.17"/>
    <s v="Paid"/>
    <x v="0"/>
    <s v="OK"/>
    <s v="OK"/>
    <s v="OK"/>
    <s v="OK"/>
    <n v="8"/>
    <s v="Unique"/>
    <n v="0.15"/>
    <s v="Valid"/>
    <n v="10911.322499999998"/>
    <x v="546"/>
    <n v="0.36154027158486052"/>
    <x v="1"/>
    <x v="1"/>
    <s v="Clean"/>
  </r>
  <r>
    <s v="ORD-2024-10548"/>
    <d v="2024-05-16T00:00:00"/>
    <d v="2024-05-23T00:00:00"/>
    <s v="CUST-9146"/>
    <s v="Neha Gupta"/>
    <x v="1"/>
    <x v="0"/>
    <s v="Uttar Pradesh"/>
    <s v="Noida"/>
    <x v="2"/>
    <x v="6"/>
    <s v="Max Copiers 607"/>
    <x v="3"/>
    <n v="9"/>
    <n v="3722.09"/>
    <n v="0.1"/>
    <n v="30148.93"/>
    <n v="25155.07"/>
    <n v="4993.8599999999997"/>
    <s v="Paid"/>
    <x v="0"/>
    <s v="OK"/>
    <s v="OK"/>
    <s v="OK"/>
    <s v="OK"/>
    <n v="7"/>
    <s v="Unique"/>
    <n v="0.1"/>
    <s v="Valid"/>
    <n v="30148.929"/>
    <x v="547"/>
    <n v="0.16563968159532302"/>
    <x v="4"/>
    <x v="0"/>
    <s v="Clean"/>
  </r>
  <r>
    <s v="ORD-2024-10549"/>
    <d v="2024-05-29T00:00:00"/>
    <d v="2024-05-29T00:00:00"/>
    <s v="CUST-5129"/>
    <s v="Rohan Mehta"/>
    <x v="2"/>
    <x v="1"/>
    <s v="Bihar"/>
    <s v="Patna"/>
    <x v="1"/>
    <x v="10"/>
    <s v="Prime Bookcases 402"/>
    <x v="1"/>
    <n v="1"/>
    <n v="1072.01"/>
    <n v="0"/>
    <n v="1072.01"/>
    <n v="852.62"/>
    <n v="219.39"/>
    <s v="Pending"/>
    <x v="1"/>
    <s v="OK"/>
    <s v="OK"/>
    <s v="OK"/>
    <s v="OK"/>
    <n v="0"/>
    <s v="Unique"/>
    <n v="0"/>
    <s v="Valid"/>
    <n v="1072.01"/>
    <x v="548"/>
    <n v="0.20465294167032022"/>
    <x v="4"/>
    <x v="0"/>
    <s v="Clean"/>
  </r>
  <r>
    <s v="ORD-2025-10550"/>
    <d v="2025-10-11T00:00:00"/>
    <d v="2025-10-13T00:00:00"/>
    <s v="CUST-6028"/>
    <s v="Mira Das"/>
    <x v="2"/>
    <x v="2"/>
    <s v="Telangana"/>
    <s v="Hyderabad"/>
    <x v="0"/>
    <x v="2"/>
    <s v="Pro Art 287"/>
    <x v="0"/>
    <n v="3"/>
    <n v="3804.27"/>
    <n v="0.1"/>
    <n v="10271.530000000001"/>
    <n v="8272.24"/>
    <n v="1999.29"/>
    <s v="Paid"/>
    <x v="0"/>
    <s v="OK"/>
    <s v="OK"/>
    <s v="OK"/>
    <s v="OK"/>
    <n v="2"/>
    <s v="Unique"/>
    <n v="0.1"/>
    <s v="Valid"/>
    <n v="10271.529"/>
    <x v="549"/>
    <n v="0.19464375751652949"/>
    <x v="9"/>
    <x v="1"/>
    <s v="Clean"/>
  </r>
  <r>
    <s v="ORD-2024-10551"/>
    <d v="2024-08-02T00:00:00"/>
    <d v="2024-08-10T00:00:00"/>
    <s v="CUST-8687"/>
    <s v="Mira Das"/>
    <x v="3"/>
    <x v="1"/>
    <s v="Odisha"/>
    <s v="Bhubaneswar"/>
    <x v="2"/>
    <x v="5"/>
    <s v="Max Accessories 591"/>
    <x v="3"/>
    <n v="6"/>
    <n v="2126.44"/>
    <n v="0.2"/>
    <n v="10206.91"/>
    <n v="6764.53"/>
    <n v="3442.38"/>
    <s v="Paid"/>
    <x v="0"/>
    <s v="OK"/>
    <s v="OK"/>
    <s v="OK"/>
    <s v="OK"/>
    <n v="8"/>
    <s v="Unique"/>
    <n v="0.2"/>
    <s v="Valid"/>
    <n v="10206.912"/>
    <x v="550"/>
    <n v="0.33725988820125036"/>
    <x v="1"/>
    <x v="0"/>
    <s v="Clean"/>
  </r>
  <r>
    <s v="ORD-2024-10552"/>
    <d v="2024-02-27T00:00:00"/>
    <d v="2024-02-27T00:00:00"/>
    <s v="CUST-8172"/>
    <s v="Sneha Kapoor"/>
    <x v="0"/>
    <x v="1"/>
    <s v="Jharkhand"/>
    <s v="Ranchi"/>
    <x v="1"/>
    <x v="4"/>
    <s v="Elite Chairs 314"/>
    <x v="0"/>
    <n v="3"/>
    <n v="3148.09"/>
    <n v="0.15"/>
    <n v="8027.63"/>
    <n v="5496.09"/>
    <n v="2531.54"/>
    <s v="Paid"/>
    <x v="0"/>
    <s v="OK"/>
    <s v="OK"/>
    <s v="OK"/>
    <s v="OK"/>
    <n v="0"/>
    <s v="Unique"/>
    <n v="0.15"/>
    <s v="Valid"/>
    <n v="8027.6295"/>
    <x v="551"/>
    <n v="0.31535330572991688"/>
    <x v="6"/>
    <x v="0"/>
    <s v="Clean"/>
  </r>
  <r>
    <s v="ORD-2025-10553"/>
    <d v="2025-01-24T00:00:00"/>
    <d v="2025-01-30T00:00:00"/>
    <s v="CUST-8861"/>
    <s v="Ananya Rao"/>
    <x v="2"/>
    <x v="1"/>
    <s v="West Bengal"/>
    <s v="Kolkata"/>
    <x v="2"/>
    <x v="6"/>
    <s v="Pro Copiers 246"/>
    <x v="3"/>
    <n v="8"/>
    <n v="312.52999999999997"/>
    <s v="70%"/>
    <n v="1875.18"/>
    <n v="1579.17"/>
    <n v="296.01"/>
    <s v="Paid"/>
    <x v="0"/>
    <s v="OK"/>
    <s v="OK"/>
    <s v="OK"/>
    <s v="OK"/>
    <n v="6"/>
    <s v="Unique"/>
    <n v="0.7"/>
    <s v="Invalid: Above Allowed Range (Text Format)"/>
    <n v="750.072"/>
    <x v="552"/>
    <n v="-1.1053578856429784"/>
    <x v="10"/>
    <x v="1"/>
    <s v="Invalid"/>
  </r>
  <r>
    <s v="ORD-2025-10554"/>
    <d v="2025-04-25T00:00:00"/>
    <d v="2025-04-28T00:00:00"/>
    <s v="CUST-9241"/>
    <s v="Aarav Sharma"/>
    <x v="1"/>
    <x v="3"/>
    <s v="Gujarat"/>
    <s v="Ahmedabad"/>
    <x v="0"/>
    <x v="8"/>
    <s v="Pro Storage 128"/>
    <x v="2"/>
    <n v="9"/>
    <n v="1294.1099999999999"/>
    <n v="0.25"/>
    <n v="8735.24"/>
    <n v="6620.07"/>
    <n v="2115.17"/>
    <s v="Paid"/>
    <x v="0"/>
    <s v="OK"/>
    <s v="OK"/>
    <s v="OK"/>
    <s v="OK"/>
    <n v="3"/>
    <s v="Unique"/>
    <n v="0.25"/>
    <s v="Valid"/>
    <n v="8735.2425000000003"/>
    <x v="553"/>
    <n v="0.24214239043735769"/>
    <x v="5"/>
    <x v="1"/>
    <s v="Clean"/>
  </r>
  <r>
    <s v="ORD-2024-10555"/>
    <d v="2024-10-12T00:00:00"/>
    <d v="2024-10-17T00:00:00"/>
    <s v="CUST-2126"/>
    <s v="Arjun Bose"/>
    <x v="0"/>
    <x v="4"/>
    <s v="Jharkhand"/>
    <s v="Ranchi"/>
    <x v="1"/>
    <x v="3"/>
    <s v="Prime Furnishings 892"/>
    <x v="3"/>
    <n v="4"/>
    <n v="1071.22"/>
    <n v="0.05"/>
    <n v="4070.64"/>
    <n v="2831.62"/>
    <n v="1239.02"/>
    <s v="Paid"/>
    <x v="0"/>
    <s v="OK"/>
    <s v="OK"/>
    <s v="OK"/>
    <s v="OK"/>
    <n v="5"/>
    <s v="Unique"/>
    <n v="0.05"/>
    <s v="Valid"/>
    <n v="4070.636"/>
    <x v="554"/>
    <n v="0.30437897173807732"/>
    <x v="9"/>
    <x v="0"/>
    <s v="Warning"/>
  </r>
  <r>
    <s v="ORD-2025-10556"/>
    <d v="2025-02-04T00:00:00"/>
    <d v="2025-02-10T00:00:00"/>
    <s v="CUST-7513"/>
    <s v="Ananya Rao"/>
    <x v="1"/>
    <x v="2"/>
    <s v="Telangana"/>
    <s v="Hyderabad"/>
    <x v="0"/>
    <x v="8"/>
    <s v="Prime Storage 689"/>
    <x v="3"/>
    <n v="6"/>
    <n v="1042.8"/>
    <n v="0.05"/>
    <n v="5943.96"/>
    <n v="3604.14"/>
    <n v="2339.8200000000002"/>
    <s v="Paid"/>
    <x v="0"/>
    <s v="OK"/>
    <s v="OK"/>
    <s v="OK"/>
    <s v="OK"/>
    <n v="6"/>
    <s v="Unique"/>
    <n v="0.05"/>
    <s v="Valid"/>
    <n v="5943.9599999999991"/>
    <x v="555"/>
    <n v="0.39364665980255581"/>
    <x v="6"/>
    <x v="1"/>
    <s v="Clean"/>
  </r>
  <r>
    <s v="ORD-2024-10557"/>
    <d v="2024-06-23T00:00:00"/>
    <d v="2024-06-29T00:00:00"/>
    <s v="CUST-1992"/>
    <s v="Neha Gupta"/>
    <x v="0"/>
    <x v="0"/>
    <s v="Haryana"/>
    <s v="Gurugram"/>
    <x v="1"/>
    <x v="1"/>
    <s v="Classic Tables 769"/>
    <x v="2"/>
    <n v="1"/>
    <n v="4426.66"/>
    <n v="0"/>
    <n v="4426.66"/>
    <n v="3035.2"/>
    <n v="1816.23"/>
    <s v="Paid"/>
    <x v="2"/>
    <s v="OK"/>
    <s v="OK"/>
    <s v="OK"/>
    <s v="OK"/>
    <n v="6"/>
    <s v="Unique"/>
    <n v="0"/>
    <s v="Valid"/>
    <n v="4426.66"/>
    <x v="556"/>
    <n v="0.31433631677156143"/>
    <x v="2"/>
    <x v="0"/>
    <s v="Clean"/>
  </r>
  <r>
    <s v="ORD-2024-10558"/>
    <d v="2024-05-08T00:00:00"/>
    <d v="2024-05-14T00:00:00"/>
    <s v="CUST-8848"/>
    <s v="Vikram Iyer"/>
    <x v="3"/>
    <x v="0"/>
    <s v="Haryana"/>
    <s v="Gurugram"/>
    <x v="2"/>
    <x v="11"/>
    <s v="Prime Phones 503"/>
    <x v="2"/>
    <n v="9"/>
    <n v="3769.46"/>
    <n v="0.05"/>
    <n v="32228.880000000001"/>
    <n v="24971.360000000001"/>
    <n v="7257.52"/>
    <s v="Paid"/>
    <x v="1"/>
    <s v="OK"/>
    <s v="OK"/>
    <s v="OK"/>
    <s v="OK"/>
    <n v="6"/>
    <s v="Unique"/>
    <n v="0.05"/>
    <s v="Valid"/>
    <n v="32228.882999999998"/>
    <x v="557"/>
    <n v="0.22518692317074712"/>
    <x v="4"/>
    <x v="0"/>
    <s v="Clean"/>
  </r>
  <r>
    <s v="ORD-2025-10559"/>
    <d v="2025-09-04T00:00:00"/>
    <d v="2025-09-04T00:00:00"/>
    <s v="CUST-9368"/>
    <s v="Aditi Sen"/>
    <x v="2"/>
    <x v="0"/>
    <s v="Punjab"/>
    <s v="Ludhiana"/>
    <x v="2"/>
    <x v="12"/>
    <s v="Basic Machines 136"/>
    <x v="2"/>
    <n v="8"/>
    <n v="3079.95"/>
    <n v="0.2"/>
    <n v="19711.68"/>
    <n v="14461.8"/>
    <n v="5249.88"/>
    <s v="Paid"/>
    <x v="0"/>
    <s v="OK"/>
    <s v="OK"/>
    <s v="OK"/>
    <s v="OK"/>
    <n v="0"/>
    <s v="Unique"/>
    <n v="0.2"/>
    <s v="Valid"/>
    <n v="19711.68"/>
    <x v="558"/>
    <n v="0.26633346320557155"/>
    <x v="7"/>
    <x v="1"/>
    <s v="Clean"/>
  </r>
  <r>
    <s v="ORD-2025-10560"/>
    <d v="2025-09-30T00:00:00"/>
    <d v="2025-10-07T00:00:00"/>
    <s v="CUST-6797"/>
    <s v="Diya Patel"/>
    <x v="2"/>
    <x v="1"/>
    <s v="Bihar"/>
    <s v="Patna"/>
    <x v="2"/>
    <x v="6"/>
    <s v="Basic Copiers 512"/>
    <x v="0"/>
    <n v="5"/>
    <n v="3277.82"/>
    <n v="0.1"/>
    <n v="14750.19"/>
    <n v="9482.58"/>
    <n v="5267.61"/>
    <s v="Paid"/>
    <x v="2"/>
    <s v="OK"/>
    <s v="OK"/>
    <s v="OK"/>
    <s v="OK"/>
    <n v="7"/>
    <s v="Unique"/>
    <n v="0.1"/>
    <s v="Valid"/>
    <n v="14750.190000000002"/>
    <x v="559"/>
    <n v="0.35712150148574368"/>
    <x v="7"/>
    <x v="1"/>
    <s v="Clean"/>
  </r>
  <r>
    <s v="ORD-2024-10561"/>
    <d v="2024-01-16T00:00:00"/>
    <d v="2024-01-22T00:00:00"/>
    <s v="CUST-9333"/>
    <s v="Arjun Bose"/>
    <x v="0"/>
    <x v="3"/>
    <s v="Goa"/>
    <s v="Panaji"/>
    <x v="0"/>
    <x v="8"/>
    <s v="Smart Storage 767"/>
    <x v="3"/>
    <n v="4"/>
    <n v="282.52999999999997"/>
    <n v="0"/>
    <n v="1130.1199999999999"/>
    <n v="848.62"/>
    <n v="281.5"/>
    <s v="Paid"/>
    <x v="1"/>
    <s v="OK"/>
    <s v="OK"/>
    <s v="OK"/>
    <s v="OK"/>
    <n v="6"/>
    <s v="Unique"/>
    <n v="0"/>
    <s v="Valid"/>
    <n v="1130.1199999999999"/>
    <x v="560"/>
    <n v="0.249088592361873"/>
    <x v="10"/>
    <x v="0"/>
    <s v="Clean"/>
  </r>
  <r>
    <s v="ORD-2025-10562"/>
    <d v="2025-07-14T00:00:00"/>
    <d v="2025-07-18T00:00:00"/>
    <s v="CUST-6654"/>
    <s v="Aditi Sen"/>
    <x v="0"/>
    <x v="0"/>
    <s v="Punjab"/>
    <s v="Ludhiana"/>
    <x v="2"/>
    <x v="6"/>
    <s v="Eco Copiers 954"/>
    <x v="2"/>
    <n v="4"/>
    <n v="725.22"/>
    <n v="0"/>
    <n v="2900.88"/>
    <n v="2391.85"/>
    <n v="509.03"/>
    <s v="Pending"/>
    <x v="2"/>
    <s v="OK"/>
    <s v="OK"/>
    <s v="OK"/>
    <s v="OK"/>
    <n v="4"/>
    <s v="Unique"/>
    <n v="0"/>
    <s v="Valid"/>
    <n v="2900.88"/>
    <x v="561"/>
    <n v="0.17547433882132324"/>
    <x v="0"/>
    <x v="1"/>
    <s v="Clean"/>
  </r>
  <r>
    <s v="ORD-2024-10563"/>
    <d v="2024-05-10T00:00:00"/>
    <d v="2024-05-16T00:00:00"/>
    <s v="CUST-8622"/>
    <s v="Karan Malhotra"/>
    <x v="0"/>
    <x v="0"/>
    <s v="Punjab"/>
    <s v="Ludhiana"/>
    <x v="0"/>
    <x v="9"/>
    <s v="Elite Binders 143"/>
    <x v="1"/>
    <n v="7"/>
    <n v="121.54"/>
    <n v="0.2"/>
    <n v="680.62"/>
    <n v="463.49"/>
    <n v="217.13"/>
    <s v="Failed"/>
    <x v="2"/>
    <s v="OK"/>
    <s v="OK"/>
    <s v="OK"/>
    <s v="OK"/>
    <n v="6"/>
    <s v="Unique"/>
    <n v="0.2"/>
    <s v="Valid"/>
    <n v="680.62400000000014"/>
    <x v="562"/>
    <n v="0.31902195632243363"/>
    <x v="4"/>
    <x v="0"/>
    <s v="Clean"/>
  </r>
  <r>
    <s v="ORD-2024-10564"/>
    <d v="2024-05-06T00:00:00"/>
    <d v="2024-05-12T00:00:00"/>
    <s v="CUST-8776"/>
    <s v="Arjun Bose"/>
    <x v="2"/>
    <x v="3"/>
    <s v="Goa"/>
    <s v="Panaji"/>
    <x v="1"/>
    <x v="1"/>
    <s v="Classic Tables 560"/>
    <x v="3"/>
    <n v="9"/>
    <n v="790.97"/>
    <n v="0.2"/>
    <n v="5694.98"/>
    <n v="4618.33"/>
    <n v="1076.6500000000001"/>
    <s v="Pending"/>
    <x v="1"/>
    <s v="OK"/>
    <s v="OK"/>
    <s v="OK"/>
    <s v="OK"/>
    <n v="6"/>
    <s v="Unique"/>
    <n v="0.2"/>
    <s v="Valid"/>
    <n v="5694.9840000000004"/>
    <x v="563"/>
    <n v="0.1890530333360024"/>
    <x v="4"/>
    <x v="0"/>
    <s v="Clean"/>
  </r>
  <r>
    <s v="ORD-2024-10565"/>
    <d v="2024-11-10T00:00:00"/>
    <d v="2024-11-14T00:00:00"/>
    <s v="CUST-9100"/>
    <s v="Sneha Kapoor"/>
    <x v="2"/>
    <x v="2"/>
    <s v="Andhra Pradesh"/>
    <s v="Vijayawada"/>
    <x v="1"/>
    <x v="1"/>
    <s v="Basic Tables 759"/>
    <x v="2"/>
    <n v="2"/>
    <n v="921.34"/>
    <n v="0.2"/>
    <n v="1474.14"/>
    <n v="968.46"/>
    <n v="505.68"/>
    <s v="Paid"/>
    <x v="0"/>
    <s v="OK"/>
    <s v="OK"/>
    <s v="OK"/>
    <s v="OK"/>
    <n v="4"/>
    <s v="Unique"/>
    <n v="0.2"/>
    <s v="Valid"/>
    <n v="1474.1440000000002"/>
    <x v="564"/>
    <n v="0.34303568715132315"/>
    <x v="3"/>
    <x v="0"/>
    <s v="Clean"/>
  </r>
  <r>
    <s v="ORD-2025-10566"/>
    <d v="2025-08-07T00:00:00"/>
    <d v="2025-08-13T00:00:00"/>
    <s v="CUST-5601"/>
    <s v="Mira Das"/>
    <x v="2"/>
    <x v="0"/>
    <s v="Delhi"/>
    <s v="New Delhi"/>
    <x v="2"/>
    <x v="11"/>
    <s v="Prime Phones 564"/>
    <x v="3"/>
    <n v="6"/>
    <n v="1921.86"/>
    <n v="0.2"/>
    <n v="9224.93"/>
    <n v="7005.2"/>
    <n v="2219.73"/>
    <s v="Refunded"/>
    <x v="1"/>
    <s v="OK"/>
    <s v="OK"/>
    <s v="OK"/>
    <s v="OK"/>
    <n v="6"/>
    <s v="Unique"/>
    <n v="0.2"/>
    <s v="Valid"/>
    <n v="9224.9279999999999"/>
    <x v="565"/>
    <n v="0.24062279944081949"/>
    <x v="1"/>
    <x v="1"/>
    <s v="Clean"/>
  </r>
  <r>
    <s v="ORD-2024-10567"/>
    <d v="2024-08-11T00:00:00"/>
    <d v="2024-08-19T00:00:00"/>
    <s v="CUST-5246"/>
    <s v="Sneha Kapoor"/>
    <x v="1"/>
    <x v="3"/>
    <s v="Maharashtra"/>
    <s v="Mumbai"/>
    <x v="0"/>
    <x v="0"/>
    <s v="Smart Paper 807"/>
    <x v="1"/>
    <n v="2"/>
    <n v="2617.89"/>
    <n v="0.1"/>
    <n v="4712.2"/>
    <n v="3851.91"/>
    <n v="860.29"/>
    <s v="Failed"/>
    <x v="2"/>
    <s v="OK"/>
    <s v="OK"/>
    <s v="OK"/>
    <s v="OK"/>
    <n v="8"/>
    <s v="Unique"/>
    <n v="0.1"/>
    <s v="Valid"/>
    <n v="4712.2020000000002"/>
    <x v="566"/>
    <n v="0.18256687637754077"/>
    <x v="1"/>
    <x v="0"/>
    <s v="Clean"/>
  </r>
  <r>
    <s v="ORD-2024-10568"/>
    <d v="2024-02-06T00:00:00"/>
    <d v="2024-02-10T00:00:00"/>
    <s v="CUST-3128"/>
    <s v="Arjun Bose"/>
    <x v="3"/>
    <x v="0"/>
    <s v="Uttar Pradesh"/>
    <s v="Noida"/>
    <x v="1"/>
    <x v="3"/>
    <s v="Pro Furnishings 108"/>
    <x v="1"/>
    <n v="1"/>
    <n v="1374.06"/>
    <n v="0.05"/>
    <n v="1305.3599999999999"/>
    <n v="731.89"/>
    <n v="573.47"/>
    <s v="Paid"/>
    <x v="0"/>
    <s v="OK"/>
    <s v="OK"/>
    <s v="OK"/>
    <s v="OK"/>
    <n v="4"/>
    <s v="Unique"/>
    <n v="0.05"/>
    <s v="Valid"/>
    <n v="1305.357"/>
    <x v="567"/>
    <n v="0.4393181328939133"/>
    <x v="6"/>
    <x v="0"/>
    <s v="Clean"/>
  </r>
  <r>
    <s v="ORD-2024-10569"/>
    <d v="2024-01-21T00:00:00"/>
    <d v="2024-01-24T00:00:00"/>
    <s v="CUST-4604"/>
    <s v="Kabir Singh"/>
    <x v="2"/>
    <x v="0"/>
    <s v="Punjab"/>
    <s v="Ludhiana"/>
    <x v="2"/>
    <x v="12"/>
    <s v="Classic Machines 522"/>
    <x v="1"/>
    <n v="1"/>
    <n v="3806.3"/>
    <n v="0.25"/>
    <n v="2854.73"/>
    <n v="1968.12"/>
    <n v="886.61"/>
    <s v="Paid"/>
    <x v="0"/>
    <s v="OK"/>
    <s v="OK"/>
    <s v="OK"/>
    <s v="OK"/>
    <n v="3"/>
    <s v="Unique"/>
    <n v="0.25"/>
    <s v="Valid"/>
    <n v="2854.7250000000004"/>
    <x v="568"/>
    <n v="0.31057457373302172"/>
    <x v="10"/>
    <x v="0"/>
    <s v="Clean"/>
  </r>
  <r>
    <s v="ORD-2025-10570"/>
    <d v="2025-09-08T00:00:00"/>
    <d v="2025-09-10T00:00:00"/>
    <s v="CUST-2586"/>
    <s v="Rahul Verma"/>
    <x v="3"/>
    <x v="3"/>
    <s v="Maharashtra"/>
    <s v="Mumbai"/>
    <x v="1"/>
    <x v="3"/>
    <s v="Elite Furnishings 822"/>
    <x v="3"/>
    <n v="6"/>
    <n v="3251.17"/>
    <n v="0.25"/>
    <n v="14630.26"/>
    <n v="11906.36"/>
    <n v="2723.9"/>
    <s v="Refunded"/>
    <x v="2"/>
    <s v="OK"/>
    <s v="OK"/>
    <s v="OK"/>
    <s v="OK"/>
    <n v="2"/>
    <s v="Unique"/>
    <n v="0.25"/>
    <s v="Valid"/>
    <n v="14630.264999999999"/>
    <x v="569"/>
    <n v="0.18618288868998606"/>
    <x v="7"/>
    <x v="1"/>
    <s v="Clean"/>
  </r>
  <r>
    <s v="ORD-2025-10571"/>
    <d v="2025-08-18T00:00:00"/>
    <d v="2025-08-22T00:00:00"/>
    <s v="CUST-6585"/>
    <s v="Arjun Bose"/>
    <x v="0"/>
    <x v="1"/>
    <s v="Jharkhand"/>
    <s v="Ranchi"/>
    <x v="1"/>
    <x v="3"/>
    <s v="Max Furnishings 647"/>
    <x v="0"/>
    <n v="3"/>
    <n v="3946.44"/>
    <n v="0.25"/>
    <n v="8879.49"/>
    <n v="6344.57"/>
    <n v="2534.92"/>
    <s v="Failed"/>
    <x v="2"/>
    <s v="OK"/>
    <s v="OK"/>
    <s v="OK"/>
    <s v="OK"/>
    <n v="4"/>
    <s v="Unique"/>
    <n v="0.25"/>
    <s v="Valid"/>
    <n v="8879.49"/>
    <x v="570"/>
    <n v="0.28548035979543873"/>
    <x v="1"/>
    <x v="1"/>
    <s v="Clean"/>
  </r>
  <r>
    <s v="ORD-2025-10572"/>
    <d v="2025-02-10T00:00:00"/>
    <d v="2025-02-14T00:00:00"/>
    <s v="CUST-3425"/>
    <s v="Priya Menon"/>
    <x v="1"/>
    <x v="0"/>
    <s v="Uttar Pradesh"/>
    <s v="Noida"/>
    <x v="2"/>
    <x v="11"/>
    <s v="Prime Phones 895"/>
    <x v="4"/>
    <n v="5"/>
    <n v="4276.29"/>
    <n v="0"/>
    <n v="21381.45"/>
    <n v="13240.21"/>
    <n v="8141.24"/>
    <s v="Failed"/>
    <x v="2"/>
    <s v="OK"/>
    <s v="OK"/>
    <s v="OK"/>
    <s v="OK"/>
    <n v="4"/>
    <s v="Conflicting Duplicate - Manual Review Required"/>
    <n v="0"/>
    <s v="Valid"/>
    <n v="21381.45"/>
    <x v="571"/>
    <n v="0.38076182859441249"/>
    <x v="6"/>
    <x v="1"/>
    <s v="Invalid"/>
  </r>
  <r>
    <s v="ORD-2024-10573"/>
    <d v="2024-01-02T00:00:00"/>
    <d v="2024-01-09T00:00:00"/>
    <s v="CUST-8633"/>
    <s v="Diya Patel"/>
    <x v="2"/>
    <x v="0"/>
    <s v="Delhi"/>
    <s v="New Delhi"/>
    <x v="2"/>
    <x v="11"/>
    <s v="Eco Phones 368"/>
    <x v="3"/>
    <n v="3"/>
    <n v="739.56"/>
    <n v="0.2"/>
    <n v="1774.94"/>
    <n v="1007.4"/>
    <n v="767.54"/>
    <s v="Paid"/>
    <x v="0"/>
    <s v="OK"/>
    <s v="OK"/>
    <s v="OK"/>
    <s v="OK"/>
    <n v="7"/>
    <s v="Unique"/>
    <n v="0.2"/>
    <s v="Valid"/>
    <n v="1774.944"/>
    <x v="572"/>
    <n v="0.43243279787982042"/>
    <x v="10"/>
    <x v="0"/>
    <s v="Clean"/>
  </r>
  <r>
    <s v="ORD-2025-10574"/>
    <d v="2025-09-22T00:00:00"/>
    <d v="2025-09-26T00:00:00"/>
    <s v="CUST-8243"/>
    <s v="Isha Nair"/>
    <x v="0"/>
    <x v="2"/>
    <s v="Andhra Pradesh"/>
    <s v="Vijayawada"/>
    <x v="2"/>
    <x v="11"/>
    <s v="Pro Phones 644"/>
    <x v="3"/>
    <n v="1"/>
    <n v="573.65"/>
    <n v="0"/>
    <n v="573.65"/>
    <n v="322.67"/>
    <n v="250.98"/>
    <s v="Paid"/>
    <x v="0"/>
    <s v="OK"/>
    <s v="OK"/>
    <s v="OK"/>
    <s v="OK"/>
    <n v="4"/>
    <s v="Unique"/>
    <n v="0"/>
    <s v="Valid"/>
    <n v="573.65"/>
    <x v="573"/>
    <n v="0.43751416368866031"/>
    <x v="7"/>
    <x v="1"/>
    <s v="Clean"/>
  </r>
  <r>
    <s v="ORD-2024-10575"/>
    <d v="2024-02-20T00:00:00"/>
    <d v="2024-02-25T00:00:00"/>
    <s v="CUST-9139"/>
    <s v="Diya Patel"/>
    <x v="3"/>
    <x v="0"/>
    <s v="Punjab"/>
    <s v="Ludhiana"/>
    <x v="2"/>
    <x v="12"/>
    <s v="Smart Machines 566"/>
    <x v="3"/>
    <n v="4"/>
    <n v="1355.8"/>
    <n v="0"/>
    <n v="5423.2"/>
    <n v="4072.44"/>
    <n v="1350.76"/>
    <s v="Paid"/>
    <x v="0"/>
    <s v="OK"/>
    <s v="OK"/>
    <s v="OK"/>
    <s v="OK"/>
    <n v="5"/>
    <s v="Unique"/>
    <n v="0"/>
    <s v="Valid"/>
    <n v="5423.2"/>
    <x v="574"/>
    <n v="0.24907065938929043"/>
    <x v="6"/>
    <x v="0"/>
    <s v="Clean"/>
  </r>
  <r>
    <s v="ORD-2025-10576"/>
    <d v="2025-03-11T00:00:00"/>
    <d v="2025-03-14T00:00:00"/>
    <s v="CUST-5496"/>
    <s v="Sneha Kapoor"/>
    <x v="3"/>
    <x v="2"/>
    <s v="Kerala"/>
    <s v="Kochi"/>
    <x v="1"/>
    <x v="3"/>
    <s v="Elite Furnishings 173"/>
    <x v="1"/>
    <n v="4"/>
    <n v="1244.82"/>
    <n v="0.2"/>
    <n v="3983.42"/>
    <n v="3174.91"/>
    <n v="808.51"/>
    <s v="Failed"/>
    <x v="2"/>
    <s v="OK"/>
    <s v="OK"/>
    <s v="OK"/>
    <s v="OK"/>
    <n v="3"/>
    <s v="Unique"/>
    <n v="0.2"/>
    <s v="Valid"/>
    <n v="3983.424"/>
    <x v="575"/>
    <n v="0.2029696060474607"/>
    <x v="11"/>
    <x v="1"/>
    <s v="Clean"/>
  </r>
  <r>
    <s v="ORD-2024-10577"/>
    <d v="2024-02-17T00:00:00"/>
    <d v="2024-02-23T00:00:00"/>
    <s v="CUST-2228"/>
    <s v="Rohan Mehta"/>
    <x v="3"/>
    <x v="4"/>
    <s v="Bihar"/>
    <s v="Patna"/>
    <x v="0"/>
    <x v="9"/>
    <s v="Smart Binders 417"/>
    <x v="3"/>
    <n v="9"/>
    <n v="2614.46"/>
    <n v="0"/>
    <n v="23530.14"/>
    <n v="19537.79"/>
    <n v="3992.35"/>
    <s v="Refunded"/>
    <x v="2"/>
    <s v="OK"/>
    <s v="OK"/>
    <s v="OK"/>
    <s v="OK"/>
    <n v="6"/>
    <s v="Unique"/>
    <n v="0"/>
    <s v="Valid"/>
    <n v="23530.14"/>
    <x v="576"/>
    <n v="0.16966962372514566"/>
    <x v="6"/>
    <x v="0"/>
    <s v="Warning"/>
  </r>
  <r>
    <s v="ORD-2025-10578"/>
    <d v="2025-08-28T00:00:00"/>
    <d v="2025-09-03T00:00:00"/>
    <s v="CUST-4151"/>
    <s v="Priya Menon"/>
    <x v="2"/>
    <x v="3"/>
    <s v="Madhya Pradesh"/>
    <s v="Indore"/>
    <x v="1"/>
    <x v="3"/>
    <s v="Smart Furnishings 714"/>
    <x v="3"/>
    <n v="7"/>
    <n v="268.45"/>
    <n v="0"/>
    <n v="1879.15"/>
    <n v="1134.9000000000001"/>
    <n v="744.25"/>
    <s v="Paid"/>
    <x v="0"/>
    <s v="OK"/>
    <s v="OK"/>
    <s v="OK"/>
    <s v="OK"/>
    <n v="6"/>
    <s v="Unique"/>
    <n v="0"/>
    <s v="Valid"/>
    <n v="1879.1499999999999"/>
    <x v="577"/>
    <n v="0.39605672777585599"/>
    <x v="1"/>
    <x v="1"/>
    <s v="Clean"/>
  </r>
  <r>
    <s v="ORD-2024-10579"/>
    <d v="2024-02-21T00:00:00"/>
    <d v="2024-02-23T00:00:00"/>
    <s v="CUST-4900"/>
    <s v="Neha Gupta"/>
    <x v="1"/>
    <x v="3"/>
    <s v="Gujarat"/>
    <s v="Ahmedabad"/>
    <x v="2"/>
    <x v="6"/>
    <s v="Elite Copiers 682"/>
    <x v="2"/>
    <n v="6"/>
    <n v="2633.65"/>
    <n v="0.05"/>
    <n v="15011.81"/>
    <n v="9660.36"/>
    <n v="5351.45"/>
    <s v="Paid"/>
    <x v="0"/>
    <s v="OK"/>
    <s v="OK"/>
    <s v="OK"/>
    <s v="OK"/>
    <n v="2"/>
    <s v="Unique"/>
    <n v="0.05"/>
    <s v="Valid"/>
    <n v="15011.805"/>
    <x v="578"/>
    <n v="0.35648244831317749"/>
    <x v="6"/>
    <x v="0"/>
    <s v="Clean"/>
  </r>
  <r>
    <s v="ORD-2024-10580"/>
    <d v="2024-06-19T00:00:00"/>
    <d v="2024-06-24T00:00:00"/>
    <s v="CUST-9617"/>
    <s v="Aarav Sharma"/>
    <x v="1"/>
    <x v="2"/>
    <s v="Tamil Nadu"/>
    <s v="Chennai"/>
    <x v="0"/>
    <x v="8"/>
    <s v="Pro Storage 482"/>
    <x v="1"/>
    <n v="1"/>
    <n v="3202.41"/>
    <n v="0"/>
    <n v="3202.41"/>
    <n v="2608.44"/>
    <n v="593.97"/>
    <s v="Paid"/>
    <x v="0"/>
    <s v="OK"/>
    <s v="OK"/>
    <s v="OK"/>
    <s v="OK"/>
    <n v="5"/>
    <s v="Unique"/>
    <n v="0"/>
    <s v="Valid"/>
    <n v="3202.41"/>
    <x v="579"/>
    <n v="0.18547593843386695"/>
    <x v="2"/>
    <x v="0"/>
    <s v="Clean"/>
  </r>
  <r>
    <s v="ORD-2025-10581"/>
    <d v="2025-03-06T00:00:00"/>
    <d v="2025-03-13T00:00:00"/>
    <s v="CUST-7958"/>
    <s v="Kabir Singh"/>
    <x v="0"/>
    <x v="2"/>
    <s v="Kerala"/>
    <s v="Kochi"/>
    <x v="1"/>
    <x v="4"/>
    <s v="Pro Chairs 888"/>
    <x v="3"/>
    <n v="3"/>
    <n v="163.72"/>
    <n v="0.15"/>
    <n v="417.49"/>
    <n v="261.67"/>
    <n v="155.82"/>
    <s v="Failed"/>
    <x v="2"/>
    <s v="OK"/>
    <s v="OK"/>
    <s v="OK"/>
    <s v="OK"/>
    <n v="7"/>
    <s v="Unique"/>
    <n v="0.15"/>
    <s v="Valid"/>
    <n v="417.48599999999999"/>
    <x v="580"/>
    <n v="0.37322449136018926"/>
    <x v="11"/>
    <x v="1"/>
    <s v="Clean"/>
  </r>
  <r>
    <s v="ORD-2025-10582"/>
    <d v="2025-08-09T00:00:00"/>
    <d v="2025-08-10T00:00:00"/>
    <s v="CUST-9931"/>
    <s v="Neha Gupta"/>
    <x v="0"/>
    <x v="0"/>
    <s v="Delhi"/>
    <s v="New Delhi"/>
    <x v="0"/>
    <x v="2"/>
    <s v="Classic Art 611"/>
    <x v="0"/>
    <n v="4"/>
    <n v="4080.95"/>
    <n v="0"/>
    <n v="16323.8"/>
    <n v="9965.7900000000009"/>
    <n v="6358.01"/>
    <s v="Refunded"/>
    <x v="2"/>
    <s v="OK"/>
    <s v="OK"/>
    <s v="OK"/>
    <s v="OK"/>
    <n v="1"/>
    <s v="Unique"/>
    <n v="0"/>
    <s v="Valid"/>
    <n v="16323.8"/>
    <x v="581"/>
    <n v="0.38949325524693995"/>
    <x v="1"/>
    <x v="1"/>
    <s v="Clean"/>
  </r>
  <r>
    <s v="ORD-2024-10583"/>
    <d v="2024-10-15T00:00:00"/>
    <d v="2024-10-20T00:00:00"/>
    <s v="CUST-2088"/>
    <s v="Ananya Rao"/>
    <x v="0"/>
    <x v="1"/>
    <s v="Odisha"/>
    <s v="Bhubaneswar"/>
    <x v="0"/>
    <x v="2"/>
    <s v="Basic Art 174"/>
    <x v="2"/>
    <n v="5"/>
    <n v="671.24"/>
    <n v="0"/>
    <n v="3356.2"/>
    <n v="2205.7199999999998"/>
    <n v="1150.48"/>
    <s v="Pending"/>
    <x v="2"/>
    <s v="OK"/>
    <s v="OK"/>
    <s v="OK"/>
    <s v="OK"/>
    <n v="5"/>
    <s v="Unique"/>
    <n v="0"/>
    <s v="Valid"/>
    <n v="3356.2"/>
    <x v="582"/>
    <n v="0.34279244383528995"/>
    <x v="9"/>
    <x v="0"/>
    <s v="Clean"/>
  </r>
  <r>
    <s v="ORD-2024-10584"/>
    <d v="2024-02-28T00:00:00"/>
    <d v="2024-02-28T00:00:00"/>
    <s v="CUST-1686"/>
    <s v="Rohan Mehta"/>
    <x v="1"/>
    <x v="1"/>
    <s v="West Bengal"/>
    <s v="Kolkata"/>
    <x v="0"/>
    <x v="8"/>
    <s v="Classic Storage 451"/>
    <x v="2"/>
    <n v="1"/>
    <n v="2626.84"/>
    <n v="0.2"/>
    <n v="2101.4699999999998"/>
    <n v="1217.83"/>
    <n v="883.64"/>
    <s v="Failed"/>
    <x v="2"/>
    <s v="OK"/>
    <s v="OK"/>
    <s v="OK"/>
    <s v="OK"/>
    <n v="0"/>
    <s v="Unique"/>
    <n v="0.2"/>
    <s v="Valid"/>
    <n v="2101.4720000000002"/>
    <x v="583"/>
    <n v="0.42048716328364127"/>
    <x v="6"/>
    <x v="0"/>
    <s v="Clean"/>
  </r>
  <r>
    <s v="ORD-2024-10585"/>
    <d v="2024-08-04T00:00:00"/>
    <d v="2024-08-10T00:00:00"/>
    <s v="CUST-4894"/>
    <s v="Vikram Iyer"/>
    <x v="0"/>
    <x v="1"/>
    <s v="Bihar"/>
    <s v="Patna"/>
    <x v="0"/>
    <x v="2"/>
    <s v="Pro Art 172"/>
    <x v="1"/>
    <n v="1"/>
    <n v="984.93"/>
    <n v="0.15"/>
    <n v="837.19"/>
    <n v="583.79"/>
    <n v="253.4"/>
    <s v="Pending"/>
    <x v="2"/>
    <s v="OK"/>
    <s v="OK"/>
    <s v="OK"/>
    <s v="OK"/>
    <n v="6"/>
    <s v="Unique"/>
    <n v="0.15"/>
    <s v="Valid"/>
    <n v="837.19049999999993"/>
    <x v="584"/>
    <n v="0.30267961712417901"/>
    <x v="1"/>
    <x v="0"/>
    <s v="Clean"/>
  </r>
  <r>
    <s v="ORD-2025-10586"/>
    <d v="2025-06-22T00:00:00"/>
    <d v="2025-06-25T00:00:00"/>
    <s v="CUST-5201"/>
    <s v="Diya Patel"/>
    <x v="1"/>
    <x v="3"/>
    <s v="Maharashtra"/>
    <s v="Mumbai"/>
    <x v="2"/>
    <x v="11"/>
    <s v="Prime Phones 744"/>
    <x v="2"/>
    <n v="8"/>
    <n v="3453.66"/>
    <n v="0"/>
    <n v="27629.279999999999"/>
    <n v="22026.48"/>
    <n v="5602.8"/>
    <s v="Paid"/>
    <x v="0"/>
    <s v="OK"/>
    <s v="OK"/>
    <s v="OK"/>
    <s v="OK"/>
    <n v="3"/>
    <s v="Unique"/>
    <n v="0"/>
    <s v="Valid"/>
    <n v="27629.279999999999"/>
    <x v="585"/>
    <n v="0.20278487170132553"/>
    <x v="2"/>
    <x v="1"/>
    <s v="Clean"/>
  </r>
  <r>
    <s v="ORD-2025-10587"/>
    <d v="2025-04-12T00:00:00"/>
    <d v="2025-04-12T00:00:00"/>
    <s v="CUST-8626"/>
    <s v="Mira Das"/>
    <x v="3"/>
    <x v="0"/>
    <s v="Punjab"/>
    <s v="Ludhiana"/>
    <x v="0"/>
    <x v="9"/>
    <s v="Prime Binders 249"/>
    <x v="0"/>
    <n v="7"/>
    <n v="1334.2"/>
    <n v="0.2"/>
    <n v="7471.52"/>
    <n v="6184.32"/>
    <n v="1287.2"/>
    <s v="Paid"/>
    <x v="0"/>
    <s v="OK"/>
    <s v="OK"/>
    <s v="OK"/>
    <s v="OK"/>
    <n v="0"/>
    <s v="Unique"/>
    <n v="0.2"/>
    <s v="Valid"/>
    <n v="7471.52"/>
    <x v="586"/>
    <n v="0.17228087457438387"/>
    <x v="5"/>
    <x v="1"/>
    <s v="Clean"/>
  </r>
  <r>
    <s v="ORD-2025-10588"/>
    <d v="2025-07-23T00:00:00"/>
    <d v="2025-07-31T00:00:00"/>
    <s v="CUST-1013"/>
    <s v="Kabir Singh"/>
    <x v="3"/>
    <x v="3"/>
    <s v="Madhya Pradesh"/>
    <s v="Indore"/>
    <x v="2"/>
    <x v="5"/>
    <s v="Eco Accessories 948"/>
    <x v="2"/>
    <n v="1"/>
    <n v="4253.84"/>
    <n v="0.15"/>
    <n v="3615.76"/>
    <n v="2951.52"/>
    <n v="664.24"/>
    <s v="Refunded"/>
    <x v="1"/>
    <s v="OK"/>
    <s v="OK"/>
    <s v="OK"/>
    <s v="OK"/>
    <n v="8"/>
    <s v="Unique"/>
    <n v="0.15"/>
    <s v="Valid"/>
    <n v="3615.7640000000001"/>
    <x v="587"/>
    <n v="0.18370778623826114"/>
    <x v="0"/>
    <x v="1"/>
    <s v="Clean"/>
  </r>
  <r>
    <s v="ORD-2025-10589"/>
    <d v="2025-03-11T00:00:00"/>
    <d v="2025-03-15T00:00:00"/>
    <s v="CUST-3601"/>
    <s v="Aarav Sharma"/>
    <x v="3"/>
    <x v="2"/>
    <s v="Karnataka"/>
    <s v="Bengaluru"/>
    <x v="2"/>
    <x v="5"/>
    <s v="Classic Accessories 458"/>
    <x v="0"/>
    <n v="8"/>
    <n v="4446.3599999999997"/>
    <n v="0.1"/>
    <n v="32013.79"/>
    <n v="20896.88"/>
    <n v="11116.91"/>
    <s v="Refunded"/>
    <x v="1"/>
    <s v="OK"/>
    <s v="OK"/>
    <s v="OK"/>
    <s v="OK"/>
    <n v="4"/>
    <s v="Unique"/>
    <n v="0.1"/>
    <s v="Valid"/>
    <n v="32013.791999999998"/>
    <x v="588"/>
    <n v="0.34725383359771933"/>
    <x v="11"/>
    <x v="1"/>
    <s v="Clean"/>
  </r>
  <r>
    <s v="ORD-2024-10590"/>
    <d v="2024-12-06T00:00:00"/>
    <d v="2024-12-12T00:00:00"/>
    <s v="CUST-7846"/>
    <s v="Rohan Mehta"/>
    <x v="2"/>
    <x v="0"/>
    <s v="Uttar Pradesh"/>
    <s v="Noida"/>
    <x v="2"/>
    <x v="11"/>
    <s v="Max Phones 318"/>
    <x v="2"/>
    <n v="3"/>
    <n v="524.75"/>
    <n v="0"/>
    <n v="1574.25"/>
    <n v="1326.12"/>
    <n v="248.13"/>
    <s v="Paid"/>
    <x v="0"/>
    <s v="OK"/>
    <s v="OK"/>
    <s v="OK"/>
    <s v="OK"/>
    <n v="6"/>
    <s v="Unique"/>
    <n v="0"/>
    <s v="Valid"/>
    <n v="1574.25"/>
    <x v="589"/>
    <n v="0.15761791329204389"/>
    <x v="8"/>
    <x v="0"/>
    <s v="Clean"/>
  </r>
  <r>
    <s v="ORD-2024-10591"/>
    <d v="2024-05-29T00:00:00"/>
    <d v="2024-05-29T00:00:00"/>
    <s v="CUST-3433"/>
    <s v="Aarav Sharma"/>
    <x v="3"/>
    <x v="0"/>
    <s v="Delhi"/>
    <s v="New Delhi"/>
    <x v="1"/>
    <x v="4"/>
    <s v="Elite Chairs 372"/>
    <x v="1"/>
    <n v="6"/>
    <n v="3430.35"/>
    <n v="0"/>
    <n v="20582.099999999999"/>
    <n v="15897.65"/>
    <n v="4684.45"/>
    <s v="Pending"/>
    <x v="1"/>
    <s v="OK"/>
    <s v="OK"/>
    <s v="OK"/>
    <s v="OK"/>
    <n v="0"/>
    <s v="Unique"/>
    <n v="0"/>
    <s v="Valid"/>
    <n v="20582.099999999999"/>
    <x v="590"/>
    <n v="0.22759825285077806"/>
    <x v="4"/>
    <x v="0"/>
    <s v="Clean"/>
  </r>
  <r>
    <s v="ORD-2024-10592"/>
    <d v="2024-02-22T00:00:00"/>
    <d v="2024-02-24T00:00:00"/>
    <s v="CUST-2423"/>
    <s v="Sneha Kapoor"/>
    <x v="0"/>
    <x v="2"/>
    <s v="Karnataka"/>
    <s v="Bengaluru"/>
    <x v="2"/>
    <x v="6"/>
    <s v="Eco Copiers 324"/>
    <x v="2"/>
    <n v="3"/>
    <n v="3545.08"/>
    <n v="0"/>
    <n v="10635.24"/>
    <n v="6031.88"/>
    <n v="4603.3599999999997"/>
    <s v="Failed"/>
    <x v="2"/>
    <s v="OK"/>
    <s v="OK"/>
    <s v="OK"/>
    <s v="OK"/>
    <n v="2"/>
    <s v="Unique"/>
    <n v="0"/>
    <s v="Valid"/>
    <n v="10635.24"/>
    <x v="591"/>
    <n v="0.43284025560307055"/>
    <x v="6"/>
    <x v="0"/>
    <s v="Clean"/>
  </r>
  <r>
    <s v="ORD-2024-10593"/>
    <d v="2024-03-04T00:00:00"/>
    <d v="2024-03-09T00:00:00"/>
    <s v="CUST-3559"/>
    <s v="Mira Das"/>
    <x v="0"/>
    <x v="1"/>
    <s v="West Bengal"/>
    <s v="Kolkata"/>
    <x v="2"/>
    <x v="5"/>
    <s v="Classic Accessories 131"/>
    <x v="1"/>
    <n v="8"/>
    <n v="4401.41"/>
    <n v="0.15"/>
    <n v="29929.59"/>
    <n v="22436.03"/>
    <n v="7493.56"/>
    <s v="Paid"/>
    <x v="0"/>
    <s v="OK"/>
    <s v="OK"/>
    <s v="OK"/>
    <s v="OK"/>
    <n v="5"/>
    <s v="Unique"/>
    <n v="0.15"/>
    <s v="Valid"/>
    <n v="29929.588"/>
    <x v="592"/>
    <n v="0.25037290857461858"/>
    <x v="11"/>
    <x v="0"/>
    <s v="Clean"/>
  </r>
  <r>
    <s v="ORD-2025-10594"/>
    <d v="2025-09-27T00:00:00"/>
    <d v="2025-09-29T00:00:00"/>
    <s v="CUST-2917"/>
    <s v="Arjun Bose"/>
    <x v="3"/>
    <x v="0"/>
    <s v="Uttar Pradesh"/>
    <s v="Noida"/>
    <x v="1"/>
    <x v="1"/>
    <s v="Eco Tables 550"/>
    <x v="0"/>
    <n v="9"/>
    <n v="4100.1099999999997"/>
    <n v="0.25"/>
    <n v="27675.74"/>
    <n v="15571.08"/>
    <n v="12104.66"/>
    <s v="Paid"/>
    <x v="0"/>
    <s v="OK"/>
    <s v="OK"/>
    <s v="OK"/>
    <s v="OK"/>
    <n v="2"/>
    <s v="Unique"/>
    <n v="0.25"/>
    <s v="Valid"/>
    <n v="27675.7425"/>
    <x v="593"/>
    <n v="0.4373744444254748"/>
    <x v="7"/>
    <x v="1"/>
    <s v="Clean"/>
  </r>
  <r>
    <s v="ORD-2024-10595"/>
    <d v="2024-09-19T00:00:00"/>
    <d v="2024-09-21T00:00:00"/>
    <s v="CUST-6850"/>
    <s v="Karan Malhotra"/>
    <x v="1"/>
    <x v="1"/>
    <s v="West Bengal"/>
    <s v="Kolkata"/>
    <x v="1"/>
    <x v="4"/>
    <s v="Basic Chairs 932"/>
    <x v="2"/>
    <n v="3"/>
    <n v="3981.76"/>
    <n v="0"/>
    <n v="11945.28"/>
    <n v="9700.31"/>
    <n v="2244.9699999999998"/>
    <s v="Paid"/>
    <x v="0"/>
    <s v="OK"/>
    <s v="OK"/>
    <s v="OK"/>
    <s v="OK"/>
    <n v="2"/>
    <s v="Unique"/>
    <n v="0"/>
    <s v="Valid"/>
    <n v="11945.28"/>
    <x v="594"/>
    <n v="0.18793782983739193"/>
    <x v="7"/>
    <x v="0"/>
    <s v="Clean"/>
  </r>
  <r>
    <s v="ORD-2025-10596"/>
    <d v="2025-02-11T00:00:00"/>
    <d v="2025-02-16T00:00:00"/>
    <s v="CUST-5566"/>
    <s v="Mira Das"/>
    <x v="2"/>
    <x v="0"/>
    <s v="Uttar Pradesh"/>
    <s v="Noida"/>
    <x v="2"/>
    <x v="11"/>
    <s v="Classic Phones 294"/>
    <x v="2"/>
    <n v="8"/>
    <n v="1825.56"/>
    <n v="0.1"/>
    <n v="13144.03"/>
    <n v="9764"/>
    <n v="3380.03"/>
    <s v="Paid"/>
    <x v="0"/>
    <s v="OK"/>
    <s v="OK"/>
    <s v="OK"/>
    <s v="OK"/>
    <n v="5"/>
    <s v="Unique"/>
    <n v="0.1"/>
    <s v="Valid"/>
    <n v="13144.031999999999"/>
    <x v="595"/>
    <n v="0.25715336055176974"/>
    <x v="6"/>
    <x v="1"/>
    <s v="Clean"/>
  </r>
  <r>
    <s v="ORD-2024-10597"/>
    <d v="2024-04-10T00:00:00"/>
    <d v="2024-04-16T00:00:00"/>
    <s v="CUST-2593"/>
    <s v="Aditi Sen"/>
    <x v="0"/>
    <x v="2"/>
    <s v="Kerala"/>
    <s v="Kochi"/>
    <x v="1"/>
    <x v="4"/>
    <s v="Elite Chairs 700"/>
    <x v="0"/>
    <n v="9"/>
    <n v="2723.26"/>
    <n v="0.25"/>
    <n v="18382.009999999998"/>
    <n v="13108.2"/>
    <n v="5273.81"/>
    <s v="Paid"/>
    <x v="0"/>
    <s v="OK"/>
    <s v="OK"/>
    <s v="OK"/>
    <s v="OK"/>
    <n v="6"/>
    <s v="Unique"/>
    <n v="0.25"/>
    <s v="Valid"/>
    <n v="18382.005000000005"/>
    <x v="596"/>
    <n v="0.28690042245119629"/>
    <x v="5"/>
    <x v="0"/>
    <s v="Clean"/>
  </r>
  <r>
    <s v="ORD-2025-10598"/>
    <d v="2025-07-08T00:00:00"/>
    <d v="2025-07-08T00:00:00"/>
    <s v="CUST-6957"/>
    <s v="Aditi Sen"/>
    <x v="0"/>
    <x v="2"/>
    <s v="Telangana"/>
    <s v="Hyderabad"/>
    <x v="2"/>
    <x v="6"/>
    <s v="Prime Copiers 969"/>
    <x v="1"/>
    <n v="9"/>
    <n v="274.88"/>
    <n v="0.25"/>
    <n v="1855.44"/>
    <n v="1262.74"/>
    <n v="592.70000000000005"/>
    <s v="Paid"/>
    <x v="0"/>
    <s v="OK"/>
    <s v="OK"/>
    <s v="OK"/>
    <s v="OK"/>
    <n v="0"/>
    <s v="Unique"/>
    <n v="0.25"/>
    <s v="Valid"/>
    <n v="1855.44"/>
    <x v="597"/>
    <n v="0.3194390548872505"/>
    <x v="0"/>
    <x v="1"/>
    <s v="Clean"/>
  </r>
  <r>
    <s v="ORD-2024-10599"/>
    <d v="2024-08-17T00:00:00"/>
    <d v="2024-08-24T00:00:00"/>
    <s v="CUST-8498"/>
    <s v="Ananya Rao"/>
    <x v="2"/>
    <x v="1"/>
    <s v="West Bengal"/>
    <s v="Kolkata"/>
    <x v="2"/>
    <x v="6"/>
    <s v="Eco Copiers 268"/>
    <x v="1"/>
    <n v="3"/>
    <n v="1490.69"/>
    <n v="0.25"/>
    <n v="3354.05"/>
    <n v="2672.67"/>
    <n v="681.38"/>
    <s v="Paid"/>
    <x v="0"/>
    <s v="OK"/>
    <s v="OK"/>
    <s v="OK"/>
    <s v="OK"/>
    <n v="7"/>
    <s v="Unique"/>
    <n v="0.25"/>
    <s v="Valid"/>
    <n v="3354.0524999999998"/>
    <x v="598"/>
    <n v="0.20315200790685289"/>
    <x v="1"/>
    <x v="0"/>
    <s v="Clean"/>
  </r>
  <r>
    <s v="ORD-2024-10600"/>
    <d v="2024-08-19T00:00:00"/>
    <d v="2024-08-21T00:00:00"/>
    <s v="CUST-2612"/>
    <s v="Arjun Bose"/>
    <x v="0"/>
    <x v="0"/>
    <s v="Punjab"/>
    <s v="Ludhiana"/>
    <x v="2"/>
    <x v="11"/>
    <s v="Pro Phones 588"/>
    <x v="2"/>
    <n v="3"/>
    <n v="1103.54"/>
    <n v="0.25"/>
    <n v="2482.9699999999998"/>
    <n v="1621.72"/>
    <n v="861.25"/>
    <s v="Paid"/>
    <x v="0"/>
    <s v="OK"/>
    <s v="OK"/>
    <s v="OK"/>
    <s v="OK"/>
    <n v="2"/>
    <s v="Unique"/>
    <n v="0.25"/>
    <s v="Valid"/>
    <n v="2482.9650000000001"/>
    <x v="599"/>
    <n v="0.34686151435884116"/>
    <x v="1"/>
    <x v="0"/>
    <s v="Clean"/>
  </r>
  <r>
    <s v="ORD-2025-10601"/>
    <d v="2025-03-05T00:00:00"/>
    <d v="2025-03-12T00:00:00"/>
    <s v="CUST-6013"/>
    <s v="Ananya Rao"/>
    <x v="2"/>
    <x v="3"/>
    <s v="Madhya Pradesh"/>
    <s v="Indore"/>
    <x v="0"/>
    <x v="8"/>
    <s v="Prime Storage 432"/>
    <x v="1"/>
    <n v="3"/>
    <n v="3682.75"/>
    <m/>
    <n v="11048.25"/>
    <n v="9062.7199999999993"/>
    <n v="1985.53"/>
    <s v="Paid"/>
    <x v="0"/>
    <s v="OK"/>
    <s v="OK"/>
    <s v="OK"/>
    <s v="OK"/>
    <n v="7"/>
    <s v="Unique"/>
    <n v="0"/>
    <s v="Missing - Treated as 0"/>
    <n v="11048.25"/>
    <x v="600"/>
    <n v="0.17971443441268986"/>
    <x v="11"/>
    <x v="1"/>
    <s v="Warning"/>
  </r>
  <r>
    <s v="ORD-2024-10602"/>
    <d v="2024-01-26T00:00:00"/>
    <d v="2024-01-31T00:00:00"/>
    <s v="CUST-8289"/>
    <s v="Ananya Rao"/>
    <x v="3"/>
    <x v="1"/>
    <s v="West Bengal"/>
    <s v="Kolkata"/>
    <x v="0"/>
    <x v="0"/>
    <s v="Basic Paper 452"/>
    <x v="0"/>
    <n v="5"/>
    <n v="1615.03"/>
    <n v="0.2"/>
    <n v="6460.12"/>
    <n v="3604.03"/>
    <n v="2856.09"/>
    <s v="Paid"/>
    <x v="0"/>
    <s v="OK"/>
    <s v="OK"/>
    <s v="OK"/>
    <s v="OK"/>
    <n v="5"/>
    <s v="Unique"/>
    <n v="0.2"/>
    <s v="Valid"/>
    <n v="6460.12"/>
    <x v="601"/>
    <n v="0.44211098245853014"/>
    <x v="10"/>
    <x v="0"/>
    <s v="Clean"/>
  </r>
  <r>
    <s v="ORD-2024-10603"/>
    <d v="2024-10-23T00:00:00"/>
    <d v="2024-10-30T00:00:00"/>
    <s v="CUST-5668"/>
    <s v="Aarav Sharma"/>
    <x v="0"/>
    <x v="1"/>
    <s v="Jharkhand"/>
    <s v="Ranchi"/>
    <x v="2"/>
    <x v="6"/>
    <s v="Max Copiers 477"/>
    <x v="0"/>
    <n v="9"/>
    <n v="3423.82"/>
    <n v="0.15"/>
    <n v="26192.22"/>
    <n v="20795.55"/>
    <n v="5396.67"/>
    <s v="Paid"/>
    <x v="0"/>
    <s v="OK"/>
    <s v="OK"/>
    <s v="OK"/>
    <s v="OK"/>
    <n v="7"/>
    <s v="Unique"/>
    <n v="0.15"/>
    <s v="Valid"/>
    <n v="26192.223000000002"/>
    <x v="602"/>
    <n v="0.20604104508426041"/>
    <x v="9"/>
    <x v="0"/>
    <s v="Clean"/>
  </r>
  <r>
    <s v="ORD-2025-10604"/>
    <d v="2025-01-03T00:00:00"/>
    <d v="2025-01-11T00:00:00"/>
    <s v="CUST-5808"/>
    <s v="Vikram Iyer"/>
    <x v="2"/>
    <x v="1"/>
    <s v="Bihar"/>
    <s v="Patna"/>
    <x v="2"/>
    <x v="5"/>
    <s v="Prime Accessories 300"/>
    <x v="2"/>
    <n v="8"/>
    <n v="2574.29"/>
    <n v="0.05"/>
    <n v="19564.599999999999"/>
    <n v="11154.59"/>
    <n v="8410.01"/>
    <s v="Pending"/>
    <x v="1"/>
    <s v="OK"/>
    <s v="OK"/>
    <s v="OK"/>
    <s v="OK"/>
    <n v="8"/>
    <s v="Unique"/>
    <n v="0.05"/>
    <s v="Valid"/>
    <n v="19564.603999999999"/>
    <x v="603"/>
    <n v="0.42985863654587642"/>
    <x v="10"/>
    <x v="1"/>
    <s v="Clean"/>
  </r>
  <r>
    <s v="ORD-2025-10605"/>
    <d v="2025-02-05T00:00:00"/>
    <d v="2025-02-06T00:00:00"/>
    <s v="CUST-4526"/>
    <s v="Ananya Rao"/>
    <x v="0"/>
    <x v="3"/>
    <s v="Madhya Pradesh"/>
    <s v="Indore"/>
    <x v="0"/>
    <x v="9"/>
    <s v="Max Binders 547"/>
    <x v="1"/>
    <n v="3"/>
    <n v="1076.3"/>
    <n v="0"/>
    <n v="3228.9"/>
    <n v="1853.23"/>
    <n v="1375.67"/>
    <s v="Paid"/>
    <x v="0"/>
    <s v="OK"/>
    <s v="OK"/>
    <s v="OK"/>
    <s v="OK"/>
    <n v="1"/>
    <s v="Unique"/>
    <n v="0"/>
    <s v="Valid"/>
    <n v="3228.8999999999996"/>
    <x v="604"/>
    <n v="0.42604911889497965"/>
    <x v="6"/>
    <x v="1"/>
    <s v="Clean"/>
  </r>
  <r>
    <s v="ORD-2025-10606"/>
    <d v="2025-07-09T00:00:00"/>
    <d v="2025-07-13T00:00:00"/>
    <s v="CUST-4447"/>
    <s v="Kabir Singh"/>
    <x v="2"/>
    <x v="3"/>
    <s v="Goa"/>
    <s v="Panaji"/>
    <x v="1"/>
    <x v="3"/>
    <s v="Pro Furnishings 267"/>
    <x v="0"/>
    <n v="5"/>
    <n v="1680.01"/>
    <s v="85%"/>
    <n v="7560.04"/>
    <n v="6448.05"/>
    <n v="1111.99"/>
    <s v="Paid"/>
    <x v="1"/>
    <s v="OK"/>
    <s v="OK"/>
    <s v="OK"/>
    <s v="OK"/>
    <n v="4"/>
    <s v="Unique"/>
    <n v="0.85"/>
    <s v="Invalid: Above Allowed Range (Text Format)"/>
    <n v="1260.0075000000002"/>
    <x v="605"/>
    <n v="-4.1174695388717915"/>
    <x v="0"/>
    <x v="1"/>
    <s v="Invalid"/>
  </r>
  <r>
    <s v="ORD-2025-10607"/>
    <d v="2025-02-22T00:00:00"/>
    <d v="2025-02-28T00:00:00"/>
    <s v="CUST-2698"/>
    <s v="Rahul Verma"/>
    <x v="3"/>
    <x v="3"/>
    <s v="Madhya Pradesh"/>
    <s v="Indore"/>
    <x v="2"/>
    <x v="6"/>
    <s v="Max Copiers 520"/>
    <x v="1"/>
    <n v="3"/>
    <n v="3890.81"/>
    <n v="0.25"/>
    <n v="8754.32"/>
    <n v="6238.9"/>
    <n v="2515.42"/>
    <s v="Paid"/>
    <x v="0"/>
    <s v="OK"/>
    <s v="OK"/>
    <s v="OK"/>
    <s v="OK"/>
    <n v="6"/>
    <s v="Unique"/>
    <n v="0.25"/>
    <s v="Valid"/>
    <n v="8754.3225000000002"/>
    <x v="606"/>
    <n v="0.28733491369549163"/>
    <x v="6"/>
    <x v="1"/>
    <s v="Clean"/>
  </r>
  <r>
    <s v="ORD-2025-10608"/>
    <d v="2025-02-16T00:00:00"/>
    <d v="2025-02-22T00:00:00"/>
    <s v="CUST-6297"/>
    <s v="Sneha Kapoor"/>
    <x v="3"/>
    <x v="1"/>
    <s v="Bihar"/>
    <s v="Patna"/>
    <x v="0"/>
    <x v="8"/>
    <s v="Max Storage 424"/>
    <x v="1"/>
    <n v="5"/>
    <n v="954.67"/>
    <n v="0.15"/>
    <n v="4057.35"/>
    <n v="2862.03"/>
    <n v="1195.32"/>
    <s v="Paid"/>
    <x v="0"/>
    <s v="OK"/>
    <s v="OK"/>
    <s v="OK"/>
    <s v="OK"/>
    <n v="6"/>
    <s v="Unique"/>
    <n v="0.15"/>
    <s v="Valid"/>
    <n v="4057.3474999999994"/>
    <x v="607"/>
    <n v="0.29460565061286947"/>
    <x v="6"/>
    <x v="1"/>
    <s v="Clean"/>
  </r>
  <r>
    <s v="ORD-2024-10609"/>
    <d v="2024-06-21T00:00:00"/>
    <d v="2024-06-23T00:00:00"/>
    <s v="CUST-7690"/>
    <s v="Karan Malhotra"/>
    <x v="3"/>
    <x v="3"/>
    <s v="Goa"/>
    <s v="Panaji"/>
    <x v="1"/>
    <x v="3"/>
    <s v="Elite Furnishings 706"/>
    <x v="0"/>
    <n v="9"/>
    <n v="2153.75"/>
    <n v="0"/>
    <n v="19383.75"/>
    <n v="11667.43"/>
    <n v="7716.32"/>
    <s v="Paid"/>
    <x v="0"/>
    <s v="OK"/>
    <s v="OK"/>
    <s v="OK"/>
    <s v="OK"/>
    <n v="2"/>
    <s v="Unique"/>
    <n v="0"/>
    <s v="Valid"/>
    <n v="19383.75"/>
    <x v="608"/>
    <n v="0.39808189849745274"/>
    <x v="2"/>
    <x v="0"/>
    <s v="Clean"/>
  </r>
  <r>
    <s v="ORD-2025-10610"/>
    <d v="2025-01-08T00:00:00"/>
    <d v="2025-01-12T00:00:00"/>
    <s v="CUST-4380"/>
    <s v="Sneha Kapoor"/>
    <x v="3"/>
    <x v="2"/>
    <s v="Karnataka"/>
    <s v="Bengaluru"/>
    <x v="1"/>
    <x v="4"/>
    <s v="Pro Chairs 908"/>
    <x v="3"/>
    <n v="7"/>
    <n v="4337.4799999999996"/>
    <n v="0"/>
    <n v="30362.36"/>
    <n v="25065.4"/>
    <n v="5296.96"/>
    <s v="Paid"/>
    <x v="0"/>
    <s v="OK"/>
    <s v="OK"/>
    <s v="OK"/>
    <s v="OK"/>
    <n v="4"/>
    <s v="Unique"/>
    <n v="0"/>
    <s v="Valid"/>
    <n v="30362.359999999997"/>
    <x v="609"/>
    <n v="0.17445811195177174"/>
    <x v="10"/>
    <x v="1"/>
    <s v="Clean"/>
  </r>
  <r>
    <s v="ORD-2024-10611"/>
    <d v="2024-05-20T00:00:00"/>
    <d v="2024-05-20T00:00:00"/>
    <s v="CUST-2779"/>
    <s v="Karan Malhotra"/>
    <x v="3"/>
    <x v="3"/>
    <s v="Madhya Pradesh"/>
    <s v="Indore"/>
    <x v="1"/>
    <x v="4"/>
    <s v="Pro Chairs 712"/>
    <x v="3"/>
    <n v="1"/>
    <n v="3032.95"/>
    <n v="0.1"/>
    <n v="2729.65"/>
    <n v="1715.36"/>
    <n v="1014.29"/>
    <s v="Paid"/>
    <x v="0"/>
    <s v="OK"/>
    <s v="OK"/>
    <s v="OK"/>
    <s v="OK"/>
    <n v="0"/>
    <s v="Unique"/>
    <n v="0.1"/>
    <s v="Valid"/>
    <n v="2729.6549999999997"/>
    <x v="610"/>
    <n v="0.37158358840219735"/>
    <x v="4"/>
    <x v="0"/>
    <s v="Clean"/>
  </r>
  <r>
    <s v="ORD-2025-10612"/>
    <d v="2025-07-08T00:00:00"/>
    <d v="2025-07-15T00:00:00"/>
    <s v="CUST-6108"/>
    <s v="Ananya Rao"/>
    <x v="1"/>
    <x v="0"/>
    <s v="Rajasthan"/>
    <s v="Jaipur"/>
    <x v="0"/>
    <x v="9"/>
    <s v="Max Binders 785"/>
    <x v="1"/>
    <n v="8"/>
    <n v="655.28"/>
    <n v="0.1"/>
    <n v="4718.0200000000004"/>
    <n v="3908.23"/>
    <n v="809.79"/>
    <s v="Paid"/>
    <x v="0"/>
    <s v="OK"/>
    <s v="OK"/>
    <s v="OK"/>
    <s v="OK"/>
    <n v="7"/>
    <s v="Unique"/>
    <n v="0.1"/>
    <s v="Valid"/>
    <n v="4718.0159999999996"/>
    <x v="611"/>
    <n v="0.17163697622051297"/>
    <x v="0"/>
    <x v="1"/>
    <s v="Clean"/>
  </r>
  <r>
    <s v="ORD-2025-10613"/>
    <d v="2025-04-06T00:00:00"/>
    <d v="2025-04-13T00:00:00"/>
    <s v="CUST-5663"/>
    <s v="Aditi Sen"/>
    <x v="0"/>
    <x v="4"/>
    <s v="Odisha"/>
    <s v="Bhubaneswar"/>
    <x v="2"/>
    <x v="11"/>
    <s v="Elite Phones 239"/>
    <x v="3"/>
    <n v="1"/>
    <n v="3844.01"/>
    <n v="0"/>
    <n v="3844.01"/>
    <n v="2195.79"/>
    <n v="1648.22"/>
    <s v="Paid"/>
    <x v="0"/>
    <s v="OK"/>
    <s v="OK"/>
    <s v="OK"/>
    <s v="OK"/>
    <n v="7"/>
    <s v="Unique"/>
    <n v="0"/>
    <s v="Valid"/>
    <n v="3844.01"/>
    <x v="612"/>
    <n v="0.42877619985379856"/>
    <x v="5"/>
    <x v="1"/>
    <s v="Warning"/>
  </r>
  <r>
    <s v="ORD-2024-10614"/>
    <d v="2024-10-05T00:00:00"/>
    <d v="2024-10-10T00:00:00"/>
    <s v="CUST-9311"/>
    <s v="Diya Patel"/>
    <x v="3"/>
    <x v="3"/>
    <s v="Gujarat"/>
    <s v="Ahmedabad"/>
    <x v="2"/>
    <x v="12"/>
    <s v="Basic Machines 413"/>
    <x v="1"/>
    <n v="9"/>
    <n v="3361.3"/>
    <n v="0.25"/>
    <n v="22688.78"/>
    <n v="14672.41"/>
    <n v="8016.37"/>
    <s v="Paid"/>
    <x v="0"/>
    <s v="OK"/>
    <s v="OK"/>
    <s v="OK"/>
    <s v="OK"/>
    <n v="5"/>
    <s v="Unique"/>
    <n v="0.25"/>
    <s v="Valid"/>
    <n v="22688.775000000001"/>
    <x v="613"/>
    <n v="0.35331854628555315"/>
    <x v="9"/>
    <x v="0"/>
    <s v="Clean"/>
  </r>
  <r>
    <s v="ORD-2024-10615"/>
    <d v="2024-02-11T00:00:00"/>
    <d v="2024-02-19T00:00:00"/>
    <s v="CUST-8154"/>
    <s v="Ananya Rao"/>
    <x v="3"/>
    <x v="2"/>
    <s v="Telangana"/>
    <s v="Hyderabad"/>
    <x v="1"/>
    <x v="4"/>
    <s v="Elite Chairs 140"/>
    <x v="3"/>
    <n v="8"/>
    <n v="3398.32"/>
    <n v="0.25"/>
    <n v="20389.919999999998"/>
    <n v="16661.080000000002"/>
    <n v="3728.84"/>
    <s v="Refunded"/>
    <x v="1"/>
    <s v="OK"/>
    <s v="OK"/>
    <s v="OK"/>
    <s v="OK"/>
    <n v="8"/>
    <s v="Unique"/>
    <n v="0.25"/>
    <s v="Valid"/>
    <n v="20389.920000000002"/>
    <x v="614"/>
    <n v="0.18287663708342161"/>
    <x v="6"/>
    <x v="0"/>
    <s v="Clean"/>
  </r>
  <r>
    <s v="ORD-2024-10616"/>
    <d v="2024-10-04T00:00:00"/>
    <d v="2024-10-07T00:00:00"/>
    <s v="CUST-4462"/>
    <s v="Rahul Verma"/>
    <x v="2"/>
    <x v="2"/>
    <s v="Kerala"/>
    <s v="Kochi"/>
    <x v="0"/>
    <x v="2"/>
    <s v="Basic Art 771"/>
    <x v="0"/>
    <n v="2"/>
    <n v="3144.38"/>
    <n v="0.1"/>
    <n v="5904.57"/>
    <n v="4337.79"/>
    <n v="1322.09"/>
    <s v="Paid"/>
    <x v="0"/>
    <s v="OK"/>
    <s v="OK"/>
    <s v="OK"/>
    <s v="OK"/>
    <n v="3"/>
    <s v="Unique"/>
    <n v="0.1"/>
    <s v="Valid"/>
    <n v="5659.884"/>
    <x v="615"/>
    <n v="0.23359029973052453"/>
    <x v="9"/>
    <x v="0"/>
    <s v="Clean"/>
  </r>
  <r>
    <s v="ORD-2024-10617"/>
    <d v="2024-08-16T00:00:00"/>
    <d v="2024-08-19T00:00:00"/>
    <s v="CUST-4660"/>
    <s v="Kabir Singh"/>
    <x v="0"/>
    <x v="2"/>
    <s v="Telangana"/>
    <s v="Hyderabad"/>
    <x v="0"/>
    <x v="0"/>
    <s v="Prime Paper 664"/>
    <x v="3"/>
    <n v="6"/>
    <n v="3925.55"/>
    <n v="0.2"/>
    <n v="18842.64"/>
    <n v="11840.58"/>
    <n v="7002.06"/>
    <s v="Paid"/>
    <x v="0"/>
    <s v="OK"/>
    <s v="OK"/>
    <s v="OK"/>
    <s v="OK"/>
    <n v="3"/>
    <s v="Unique"/>
    <n v="0.2"/>
    <s v="Valid"/>
    <n v="18842.640000000003"/>
    <x v="616"/>
    <n v="0.37160716332743193"/>
    <x v="1"/>
    <x v="0"/>
    <s v="Clean"/>
  </r>
  <r>
    <s v="ORD-2024-10618"/>
    <d v="2024-09-29T00:00:00"/>
    <d v="2024-09-30T00:00:00"/>
    <s v="CUST-9002"/>
    <s v="Mira Das"/>
    <x v="3"/>
    <x v="2"/>
    <s v="Telangana"/>
    <s v="Hyderabad"/>
    <x v="2"/>
    <x v="11"/>
    <s v="Pro Phones 226"/>
    <x v="3"/>
    <n v="9"/>
    <n v="2741.91"/>
    <n v="0"/>
    <n v="24677.19"/>
    <n v="20350.849999999999"/>
    <n v="4326.34"/>
    <s v="Paid"/>
    <x v="0"/>
    <s v="OK"/>
    <s v="OK"/>
    <s v="OK"/>
    <s v="OK"/>
    <n v="1"/>
    <s v="Unique"/>
    <n v="0"/>
    <s v="Valid"/>
    <n v="24677.19"/>
    <x v="617"/>
    <n v="0.17531736798233513"/>
    <x v="7"/>
    <x v="0"/>
    <s v="Clean"/>
  </r>
  <r>
    <s v="ORD-2024-10619"/>
    <d v="2024-07-23T00:00:00"/>
    <d v="2024-07-30T00:00:00"/>
    <s v="CUST-1057"/>
    <s v="Kabir Singh"/>
    <x v="2"/>
    <x v="0"/>
    <s v="Rajasthan"/>
    <s v="Jaipur"/>
    <x v="1"/>
    <x v="1"/>
    <s v="Basic Tables 684"/>
    <x v="1"/>
    <n v="9"/>
    <n v="1870.11"/>
    <n v="0.25"/>
    <n v="12623.24"/>
    <n v="10540.8"/>
    <n v="2082.44"/>
    <s v="Failed"/>
    <x v="1"/>
    <s v="OK"/>
    <s v="OK"/>
    <s v="OK"/>
    <s v="OK"/>
    <n v="7"/>
    <s v="Unique"/>
    <n v="0.25"/>
    <s v="Valid"/>
    <n v="12623.242499999998"/>
    <x v="618"/>
    <n v="0.16496890557239943"/>
    <x v="0"/>
    <x v="0"/>
    <s v="Clean"/>
  </r>
  <r>
    <s v="ORD-2024-10620"/>
    <d v="2024-11-22T00:00:00"/>
    <d v="2024-11-27T00:00:00"/>
    <s v="CUST-9596"/>
    <s v="Priya Menon"/>
    <x v="2"/>
    <x v="2"/>
    <s v="Tamil Nadu"/>
    <s v="Chennai"/>
    <x v="0"/>
    <x v="9"/>
    <s v="Prime Binders 938"/>
    <x v="2"/>
    <n v="1"/>
    <n v="4251.26"/>
    <n v="0.2"/>
    <n v="3401.01"/>
    <n v="2917.54"/>
    <n v="483.47"/>
    <s v="Refunded"/>
    <x v="2"/>
    <s v="OK"/>
    <s v="OK"/>
    <s v="OK"/>
    <s v="OK"/>
    <n v="5"/>
    <s v="Unique"/>
    <n v="0.2"/>
    <s v="Valid"/>
    <n v="3401.0080000000003"/>
    <x v="619"/>
    <n v="0.14215432601158254"/>
    <x v="3"/>
    <x v="0"/>
    <s v="Clean"/>
  </r>
  <r>
    <s v="ORD-2024-10621"/>
    <d v="2024-08-18T00:00:00"/>
    <d v="2024-08-21T00:00:00"/>
    <s v="CUST-6947"/>
    <s v="Vikram Iyer"/>
    <x v="0"/>
    <x v="0"/>
    <s v="Uttar Pradesh"/>
    <s v="Noida"/>
    <x v="2"/>
    <x v="12"/>
    <s v="Classic Machines 337"/>
    <x v="3"/>
    <n v="9"/>
    <n v="734.34"/>
    <n v="0"/>
    <n v="6609.06"/>
    <n v="4946.78"/>
    <n v="1662.28"/>
    <s v="Paid"/>
    <x v="0"/>
    <s v="OK"/>
    <s v="OK"/>
    <s v="OK"/>
    <s v="OK"/>
    <n v="3"/>
    <s v="Unique"/>
    <n v="0"/>
    <s v="Valid"/>
    <n v="6609.06"/>
    <x v="620"/>
    <n v="0.25151534408826681"/>
    <x v="1"/>
    <x v="0"/>
    <s v="Clean"/>
  </r>
  <r>
    <s v="ORD-2024-10622"/>
    <d v="2024-11-28T00:00:00"/>
    <d v="2024-12-06T00:00:00"/>
    <s v="CUST-7236"/>
    <s v="Aditi Sen"/>
    <x v="0"/>
    <x v="3"/>
    <s v="Maharashtra"/>
    <s v="Mumbai"/>
    <x v="1"/>
    <x v="4"/>
    <s v="Max Chairs 748"/>
    <x v="1"/>
    <n v="5"/>
    <n v="1092.8399999999999"/>
    <m/>
    <n v="5464.2"/>
    <n v="3318.09"/>
    <n v="2146.11"/>
    <s v="Paid"/>
    <x v="0"/>
    <s v="OK"/>
    <s v="OK"/>
    <s v="OK"/>
    <s v="OK"/>
    <n v="8"/>
    <s v="Unique"/>
    <n v="0"/>
    <s v="Missing - Treated as 0"/>
    <n v="5464.2"/>
    <x v="621"/>
    <n v="0.39275831777753373"/>
    <x v="3"/>
    <x v="0"/>
    <s v="Warning"/>
  </r>
  <r>
    <s v="ORD-2025-10623"/>
    <d v="2025-01-29T00:00:00"/>
    <d v="2025-02-06T00:00:00"/>
    <s v="CUST-1127"/>
    <s v="Vikram Iyer"/>
    <x v="0"/>
    <x v="1"/>
    <s v="Bihar"/>
    <s v="Patna"/>
    <x v="0"/>
    <x v="8"/>
    <s v="Basic Storage 934"/>
    <x v="3"/>
    <n v="4"/>
    <n v="2759.01"/>
    <n v="0.05"/>
    <n v="10484.24"/>
    <n v="6680.15"/>
    <n v="3804.09"/>
    <s v="Paid"/>
    <x v="0"/>
    <s v="OK"/>
    <s v="OK"/>
    <s v="OK"/>
    <s v="OK"/>
    <n v="8"/>
    <s v="Unique"/>
    <n v="0.05"/>
    <s v="Valid"/>
    <n v="10484.238000000001"/>
    <x v="622"/>
    <n v="0.36283876806306775"/>
    <x v="10"/>
    <x v="1"/>
    <s v="Clean"/>
  </r>
  <r>
    <s v="ORD-2024-10624"/>
    <d v="2024-08-08T00:00:00"/>
    <d v="2024-08-14T00:00:00"/>
    <s v="CUST-6262"/>
    <s v="Vikram Iyer"/>
    <x v="3"/>
    <x v="0"/>
    <s v="Punjab"/>
    <s v="Ludhiana"/>
    <x v="0"/>
    <x v="8"/>
    <s v="Pro Storage 509"/>
    <x v="0"/>
    <n v="8"/>
    <n v="1359.19"/>
    <n v="0.05"/>
    <n v="10329.84"/>
    <n v="7512.22"/>
    <n v="2817.62"/>
    <s v="Paid"/>
    <x v="0"/>
    <s v="OK"/>
    <s v="OK"/>
    <s v="OK"/>
    <s v="OK"/>
    <n v="6"/>
    <s v="Unique"/>
    <n v="0.05"/>
    <s v="Valid"/>
    <n v="10329.843999999999"/>
    <x v="623"/>
    <n v="0.27276539703794161"/>
    <x v="1"/>
    <x v="0"/>
    <s v="Clean"/>
  </r>
  <r>
    <s v="ORD-2024-10625"/>
    <d v="2024-01-30T00:00:00"/>
    <d v="2024-02-01T00:00:00"/>
    <s v="CUST-5070"/>
    <s v="Neha Gupta"/>
    <x v="3"/>
    <x v="1"/>
    <s v="Assam"/>
    <s v="Guwahati"/>
    <x v="1"/>
    <x v="4"/>
    <s v="Prime Chairs 765"/>
    <x v="2"/>
    <n v="2"/>
    <n v="4451.03"/>
    <n v="0.05"/>
    <n v="8456.9599999999991"/>
    <n v="5462.85"/>
    <n v="2994.11"/>
    <s v="Paid"/>
    <x v="0"/>
    <s v="OK"/>
    <s v="OK"/>
    <s v="OK"/>
    <s v="OK"/>
    <n v="2"/>
    <s v="Unique"/>
    <n v="0.05"/>
    <s v="Valid"/>
    <n v="8456.9569999999985"/>
    <x v="624"/>
    <n v="0.35404070282017502"/>
    <x v="10"/>
    <x v="0"/>
    <s v="Clean"/>
  </r>
  <r>
    <s v="ORD-2024-10626"/>
    <d v="2024-12-15T00:00:00"/>
    <d v="2024-12-21T00:00:00"/>
    <s v="CUST-7946"/>
    <s v="Diya Patel"/>
    <x v="2"/>
    <x v="3"/>
    <s v="Rajasthan"/>
    <s v="Udaipur"/>
    <x v="1"/>
    <x v="4"/>
    <s v="Elite Chairs 358"/>
    <x v="1"/>
    <n v="3"/>
    <n v="527.66999999999996"/>
    <n v="0.2"/>
    <n v="1266.4100000000001"/>
    <n v="983.92"/>
    <n v="282.49"/>
    <s v="Paid"/>
    <x v="0"/>
    <s v="OK"/>
    <s v="OK"/>
    <s v="OK"/>
    <s v="OK"/>
    <n v="6"/>
    <s v="Unique"/>
    <n v="0.2"/>
    <s v="Valid"/>
    <n v="1266.4079999999999"/>
    <x v="625"/>
    <n v="0.22306239379410109"/>
    <x v="8"/>
    <x v="0"/>
    <s v="Clean"/>
  </r>
  <r>
    <s v="ORD-2025-10627"/>
    <d v="2025-06-04T00:00:00"/>
    <d v="2025-06-07T00:00:00"/>
    <s v="CUST-1793"/>
    <s v="Sneha Kapoor"/>
    <x v="3"/>
    <x v="1"/>
    <s v="Assam"/>
    <s v="Guwahati"/>
    <x v="2"/>
    <x v="12"/>
    <s v="Elite Machines 971"/>
    <x v="3"/>
    <n v="8"/>
    <n v="1434.13"/>
    <n v="0"/>
    <n v="11473.04"/>
    <n v="8931.33"/>
    <n v="2541.71"/>
    <s v="Pending"/>
    <x v="2"/>
    <s v="OK"/>
    <s v="OK"/>
    <s v="OK"/>
    <s v="OK"/>
    <n v="3"/>
    <s v="Unique"/>
    <n v="0"/>
    <s v="Valid"/>
    <n v="11473.04"/>
    <x v="626"/>
    <n v="0.22153762211236086"/>
    <x v="2"/>
    <x v="1"/>
    <s v="Clean"/>
  </r>
  <r>
    <s v="ORD-2025-10628"/>
    <d v="2025-02-13T00:00:00"/>
    <d v="2025-02-21T00:00:00"/>
    <s v="CUST-8839"/>
    <s v="Karan Malhotra"/>
    <x v="1"/>
    <x v="2"/>
    <s v="Kerala"/>
    <s v="Kochi"/>
    <x v="2"/>
    <x v="11"/>
    <s v="Max Phones 825"/>
    <x v="0"/>
    <n v="2"/>
    <n v="2360.02"/>
    <n v="0.15"/>
    <n v="4012.03"/>
    <n v="3142.92"/>
    <n v="869.11"/>
    <s v="Pending"/>
    <x v="1"/>
    <s v="OK"/>
    <s v="OK"/>
    <s v="OK"/>
    <s v="OK"/>
    <n v="8"/>
    <s v="Unique"/>
    <n v="0.15"/>
    <s v="Valid"/>
    <n v="4012.0339999999997"/>
    <x v="627"/>
    <n v="0.21662677833737193"/>
    <x v="6"/>
    <x v="1"/>
    <s v="Clean"/>
  </r>
  <r>
    <s v="ORD-2025-10629"/>
    <d v="2025-10-05T00:00:00"/>
    <d v="2025-10-12T00:00:00"/>
    <s v="CUST-6725"/>
    <s v="Ananya Rao"/>
    <x v="3"/>
    <x v="1"/>
    <s v="Jharkhand"/>
    <s v="Ranchi"/>
    <x v="2"/>
    <x v="5"/>
    <s v="Eco Accessories 933"/>
    <x v="1"/>
    <n v="7"/>
    <n v="806.67"/>
    <n v="0.05"/>
    <n v="5364.36"/>
    <n v="4391.29"/>
    <n v="973.07"/>
    <s v="Paid"/>
    <x v="0"/>
    <s v="OK"/>
    <s v="OK"/>
    <s v="OK"/>
    <s v="OK"/>
    <n v="7"/>
    <s v="Unique"/>
    <n v="0.05"/>
    <s v="Valid"/>
    <n v="5364.3554999999997"/>
    <x v="628"/>
    <n v="0.18139467080434915"/>
    <x v="9"/>
    <x v="1"/>
    <s v="Clean"/>
  </r>
  <r>
    <s v="ORD-2025-10630"/>
    <d v="2025-09-10T00:00:00"/>
    <d v="2025-09-14T00:00:00"/>
    <s v="CUST-3793"/>
    <s v="Arjun Bose"/>
    <x v="3"/>
    <x v="3"/>
    <s v="Gujarat"/>
    <s v="Ahmedabad"/>
    <x v="1"/>
    <x v="1"/>
    <s v="Max Tables 908"/>
    <x v="1"/>
    <n v="3"/>
    <n v="4198.46"/>
    <n v="0.15"/>
    <n v="10706.07"/>
    <n v="5927.1"/>
    <n v="4778.97"/>
    <s v="Paid"/>
    <x v="0"/>
    <s v="OK"/>
    <s v="OK"/>
    <s v="OK"/>
    <s v="OK"/>
    <n v="4"/>
    <s v="Unique"/>
    <n v="0.15"/>
    <s v="Valid"/>
    <n v="10706.073"/>
    <x v="629"/>
    <n v="0.44637963892082555"/>
    <x v="7"/>
    <x v="1"/>
    <s v="Clean"/>
  </r>
  <r>
    <s v="ORD-2024-10631"/>
    <d v="2024-04-09T00:00:00"/>
    <d v="2024-04-10T00:00:00"/>
    <s v="CUST-6075"/>
    <s v="Priya Menon"/>
    <x v="2"/>
    <x v="1"/>
    <s v="Assam"/>
    <s v="Guwahati"/>
    <x v="0"/>
    <x v="0"/>
    <s v="Elite Paper 239"/>
    <x v="3"/>
    <n v="4"/>
    <n v="3047.05"/>
    <n v="0.1"/>
    <n v="10969.38"/>
    <n v="9254.4599999999991"/>
    <n v="1714.92"/>
    <s v="Paid"/>
    <x v="0"/>
    <s v="OK"/>
    <s v="OK"/>
    <s v="OK"/>
    <s v="OK"/>
    <n v="1"/>
    <s v="Unique"/>
    <n v="0.1"/>
    <s v="Valid"/>
    <n v="10969.380000000001"/>
    <x v="630"/>
    <n v="0.15633700354988173"/>
    <x v="5"/>
    <x v="0"/>
    <s v="Clean"/>
  </r>
  <r>
    <s v="ORD-2024-10632"/>
    <d v="2024-04-10T00:00:00"/>
    <d v="2024-04-15T00:00:00"/>
    <s v="CUST-6381"/>
    <s v="Aarav Sharma"/>
    <x v="3"/>
    <x v="3"/>
    <s v="Rajasthan"/>
    <s v="Udaipur"/>
    <x v="1"/>
    <x v="4"/>
    <s v="Eco Chairs 452"/>
    <x v="3"/>
    <n v="8"/>
    <n v="4362.4799999999996"/>
    <n v="0.1"/>
    <n v="31409.86"/>
    <n v="22523.54"/>
    <n v="8886.32"/>
    <s v="Paid"/>
    <x v="0"/>
    <s v="OK"/>
    <s v="OK"/>
    <s v="OK"/>
    <s v="OK"/>
    <n v="5"/>
    <s v="Unique"/>
    <n v="0.1"/>
    <s v="Valid"/>
    <n v="31409.855999999996"/>
    <x v="631"/>
    <n v="0.2829148914277097"/>
    <x v="5"/>
    <x v="0"/>
    <s v="Clean"/>
  </r>
  <r>
    <s v="ORD-2025-10633"/>
    <d v="2025-04-15T00:00:00"/>
    <d v="2025-04-16T00:00:00"/>
    <s v="CUST-4593"/>
    <s v="Sneha Kapoor"/>
    <x v="1"/>
    <x v="2"/>
    <s v="Karnataka"/>
    <s v="Bengaluru"/>
    <x v="1"/>
    <x v="3"/>
    <s v="Smart Furnishings 721"/>
    <x v="2"/>
    <n v="5"/>
    <n v="2850.53"/>
    <n v="0"/>
    <n v="14252.65"/>
    <n v="11558.31"/>
    <n v="2694.34"/>
    <s v="Paid"/>
    <x v="0"/>
    <s v="OK"/>
    <s v="OK"/>
    <s v="OK"/>
    <s v="OK"/>
    <n v="1"/>
    <s v="Unique"/>
    <n v="0"/>
    <s v="Valid"/>
    <n v="14252.650000000001"/>
    <x v="632"/>
    <n v="0.18904133617257154"/>
    <x v="5"/>
    <x v="1"/>
    <s v="Clean"/>
  </r>
  <r>
    <s v="ORD-2025-10634"/>
    <d v="2025-04-18T00:00:00"/>
    <d v="2025-04-20T00:00:00"/>
    <s v="CUST-5043"/>
    <s v="Aarav Sharma"/>
    <x v="1"/>
    <x v="2"/>
    <s v="Tamil Nadu"/>
    <s v="Chennai"/>
    <x v="2"/>
    <x v="5"/>
    <s v="Basic Accessories 729"/>
    <x v="0"/>
    <n v="1"/>
    <n v="1626.08"/>
    <n v="0.15"/>
    <n v="1382.17"/>
    <n v="810.03"/>
    <n v="572.14"/>
    <s v="Paid"/>
    <x v="0"/>
    <s v="OK"/>
    <s v="OK"/>
    <s v="OK"/>
    <s v="OK"/>
    <n v="2"/>
    <s v="Unique"/>
    <n v="0.15"/>
    <s v="Valid"/>
    <n v="1382.1679999999999"/>
    <x v="633"/>
    <n v="0.4139424440444287"/>
    <x v="5"/>
    <x v="1"/>
    <s v="Clean"/>
  </r>
  <r>
    <s v="ORD-2025-10635"/>
    <d v="2025-01-11T00:00:00"/>
    <d v="2025-01-12T00:00:00"/>
    <s v="CUST-4722"/>
    <s v="Aditi Sen"/>
    <x v="0"/>
    <x v="2"/>
    <s v="Telangana"/>
    <s v="Hyderabad"/>
    <x v="1"/>
    <x v="4"/>
    <s v="Classic Chairs 220"/>
    <x v="0"/>
    <n v="4"/>
    <n v="2427.15"/>
    <n v="0.05"/>
    <n v="9223.17"/>
    <n v="5103.7"/>
    <n v="4119.47"/>
    <s v="Paid"/>
    <x v="0"/>
    <s v="OK"/>
    <s v="OK"/>
    <s v="OK"/>
    <s v="OK"/>
    <n v="1"/>
    <s v="Unique"/>
    <n v="0.05"/>
    <s v="Valid"/>
    <n v="9223.17"/>
    <x v="634"/>
    <n v="0.44664361602355807"/>
    <x v="10"/>
    <x v="1"/>
    <s v="Clean"/>
  </r>
  <r>
    <s v="ORD-2024-10636"/>
    <d v="2024-05-20T00:00:00"/>
    <d v="2024-05-25T00:00:00"/>
    <s v="CUST-7931"/>
    <s v="Mira Das"/>
    <x v="2"/>
    <x v="2"/>
    <s v="Andhra Pradesh"/>
    <s v="Vijayawada"/>
    <x v="1"/>
    <x v="4"/>
    <s v="Max Chairs 305"/>
    <x v="1"/>
    <n v="7"/>
    <n v="3122.85"/>
    <n v="0.25"/>
    <n v="16394.96"/>
    <n v="10404.17"/>
    <n v="5990.79"/>
    <s v="Paid"/>
    <x v="0"/>
    <s v="OK"/>
    <s v="OK"/>
    <s v="OK"/>
    <s v="OK"/>
    <n v="5"/>
    <s v="Unique"/>
    <n v="0.25"/>
    <s v="Valid"/>
    <n v="16394.962500000001"/>
    <x v="635"/>
    <n v="0.36540446493854445"/>
    <x v="4"/>
    <x v="0"/>
    <s v="Clean"/>
  </r>
  <r>
    <s v="ORD-2024-10637"/>
    <d v="2024-10-02T00:00:00"/>
    <d v="2024-10-09T00:00:00"/>
    <s v="CUST-7221"/>
    <s v="Ananya Rao"/>
    <x v="0"/>
    <x v="2"/>
    <s v="Tamil Nadu"/>
    <s v="Chennai"/>
    <x v="0"/>
    <x v="0"/>
    <s v="Smart Paper 872"/>
    <x v="3"/>
    <n v="8"/>
    <n v="1910.31"/>
    <n v="0.15"/>
    <n v="12990.11"/>
    <n v="10200.799999999999"/>
    <n v="2789.31"/>
    <s v="Paid"/>
    <x v="0"/>
    <s v="OK"/>
    <s v="OK"/>
    <s v="OK"/>
    <s v="OK"/>
    <n v="7"/>
    <s v="Unique"/>
    <n v="0.15"/>
    <s v="Valid"/>
    <n v="12990.108"/>
    <x v="636"/>
    <n v="0.2147255434673831"/>
    <x v="9"/>
    <x v="0"/>
    <s v="Clean"/>
  </r>
  <r>
    <s v="ORD-2024-10638"/>
    <d v="2024-05-26T00:00:00"/>
    <d v="2024-05-26T00:00:00"/>
    <s v="CUST-2594"/>
    <s v="Rahul Verma"/>
    <x v="1"/>
    <x v="3"/>
    <s v="Goa"/>
    <s v="Panaji"/>
    <x v="2"/>
    <x v="6"/>
    <s v="Max Copiers 994"/>
    <x v="2"/>
    <n v="2"/>
    <n v="3192.47"/>
    <n v="0.2"/>
    <n v="5107.95"/>
    <n v="3133.08"/>
    <n v="1974.87"/>
    <s v="Paid"/>
    <x v="0"/>
    <s v="OK"/>
    <s v="OK"/>
    <s v="OK"/>
    <s v="OK"/>
    <n v="0"/>
    <s v="Unique"/>
    <n v="0.2"/>
    <s v="Valid"/>
    <n v="5107.9520000000002"/>
    <x v="637"/>
    <n v="0.38662696908663202"/>
    <x v="4"/>
    <x v="0"/>
    <s v="Clean"/>
  </r>
  <r>
    <s v="ORD-2024-10639"/>
    <d v="2024-01-26T00:00:00"/>
    <d v="2024-01-31T00:00:00"/>
    <s v="CUST-2111"/>
    <s v="Karan Malhotra"/>
    <x v="2"/>
    <x v="2"/>
    <s v="Kerala"/>
    <s v="Kochi"/>
    <x v="0"/>
    <x v="8"/>
    <s v="Pro Storage 744"/>
    <x v="0"/>
    <n v="3"/>
    <n v="3224.32"/>
    <n v="0.2"/>
    <n v="7738.37"/>
    <n v="4626.8500000000004"/>
    <n v="3111.52"/>
    <s v="Failed"/>
    <x v="2"/>
    <s v="OK"/>
    <s v="OK"/>
    <s v="OK"/>
    <s v="OK"/>
    <n v="5"/>
    <s v="Unique"/>
    <n v="0.2"/>
    <s v="Valid"/>
    <n v="7738.3680000000013"/>
    <x v="638"/>
    <n v="0.40208969126306743"/>
    <x v="10"/>
    <x v="0"/>
    <s v="Clean"/>
  </r>
  <r>
    <s v="ORD-2024-10640"/>
    <d v="2024-12-27T00:00:00"/>
    <d v="2024-12-31T00:00:00"/>
    <s v="CUST-6829"/>
    <s v="Isha Nair"/>
    <x v="1"/>
    <x v="1"/>
    <s v="Odisha"/>
    <s v="Bhubaneswar"/>
    <x v="1"/>
    <x v="4"/>
    <s v="Elite Chairs 744"/>
    <x v="0"/>
    <n v="1"/>
    <n v="1594.7"/>
    <n v="0.05"/>
    <n v="1514.96"/>
    <n v="1046.17"/>
    <n v="468.79"/>
    <s v="Paid"/>
    <x v="0"/>
    <s v="OK"/>
    <s v="OK"/>
    <s v="OK"/>
    <s v="OK"/>
    <n v="4"/>
    <s v="Unique"/>
    <n v="0.05"/>
    <s v="Valid"/>
    <n v="1514.9649999999999"/>
    <x v="639"/>
    <n v="0.3094427924077453"/>
    <x v="8"/>
    <x v="0"/>
    <s v="Clean"/>
  </r>
  <r>
    <s v="ORD-2025-10641"/>
    <d v="2025-01-14T00:00:00"/>
    <d v="2025-01-17T00:00:00"/>
    <s v="CUST-5061"/>
    <s v="Vikram Iyer"/>
    <x v="0"/>
    <x v="3"/>
    <s v="Goa"/>
    <s v="Panaji"/>
    <x v="0"/>
    <x v="8"/>
    <s v="Basic Storage 973"/>
    <x v="2"/>
    <n v="1"/>
    <n v="1584.12"/>
    <n v="0.2"/>
    <n v="1267.3"/>
    <n v="923.53"/>
    <n v="343.77"/>
    <s v="Paid"/>
    <x v="0"/>
    <s v="OK"/>
    <s v="OK"/>
    <s v="OK"/>
    <s v="OK"/>
    <n v="3"/>
    <s v="Unique"/>
    <n v="0.2"/>
    <s v="Valid"/>
    <n v="1267.296"/>
    <x v="640"/>
    <n v="0.27125943741635739"/>
    <x v="10"/>
    <x v="1"/>
    <s v="Clean"/>
  </r>
  <r>
    <s v="ORD-2025-10642"/>
    <d v="2025-04-09T00:00:00"/>
    <d v="2025-04-14T00:00:00"/>
    <s v="CUST-7915"/>
    <s v="Karan Malhotra"/>
    <x v="0"/>
    <x v="0"/>
    <s v="Delhi"/>
    <s v="New Delhi"/>
    <x v="1"/>
    <x v="3"/>
    <s v="Smart Furnishings 783"/>
    <x v="1"/>
    <n v="2"/>
    <n v="3202.87"/>
    <n v="0"/>
    <n v="6405.74"/>
    <n v="3561.87"/>
    <n v="2843.87"/>
    <s v="Paid"/>
    <x v="0"/>
    <s v="OK"/>
    <s v="OK"/>
    <s v="OK"/>
    <s v="OK"/>
    <n v="5"/>
    <s v="Unique"/>
    <n v="0"/>
    <s v="Valid"/>
    <n v="6405.74"/>
    <x v="641"/>
    <n v="0.44395651400150488"/>
    <x v="5"/>
    <x v="1"/>
    <s v="Clean"/>
  </r>
  <r>
    <s v="ORD-2024-10643"/>
    <d v="2024-08-29T00:00:00"/>
    <d v="2024-08-31T00:00:00"/>
    <s v="CUST-1940"/>
    <s v="Isha Nair"/>
    <x v="3"/>
    <x v="1"/>
    <s v="Assam"/>
    <s v="Guwahati"/>
    <x v="0"/>
    <x v="9"/>
    <s v="Prime Binders 287"/>
    <x v="0"/>
    <n v="9"/>
    <n v="1275.21"/>
    <n v="0.25"/>
    <n v="8607.67"/>
    <n v="5337.64"/>
    <n v="3270.03"/>
    <s v="Failed"/>
    <x v="2"/>
    <s v="OK"/>
    <s v="OK"/>
    <s v="OK"/>
    <s v="OK"/>
    <n v="2"/>
    <s v="Unique"/>
    <n v="0.25"/>
    <s v="Valid"/>
    <n v="8607.6674999999996"/>
    <x v="642"/>
    <n v="0.37989705108846261"/>
    <x v="1"/>
    <x v="0"/>
    <s v="Clean"/>
  </r>
  <r>
    <s v="ORD-2024-10644"/>
    <d v="2024-02-05T00:00:00"/>
    <d v="2024-02-13T00:00:00"/>
    <s v="CUST-1986"/>
    <s v="Aarav Sharma"/>
    <x v="3"/>
    <x v="0"/>
    <s v="Uttar Pradesh"/>
    <s v="Noida"/>
    <x v="0"/>
    <x v="7"/>
    <s v="Elite Labels 654"/>
    <x v="3"/>
    <n v="8"/>
    <n v="3871.18"/>
    <n v="0.15"/>
    <n v="26324.02"/>
    <n v="16277.96"/>
    <n v="10046.06"/>
    <s v="Failed"/>
    <x v="2"/>
    <s v="OK"/>
    <s v="OK"/>
    <s v="OK"/>
    <s v="OK"/>
    <n v="8"/>
    <s v="Unique"/>
    <n v="0.15"/>
    <s v="Valid"/>
    <n v="26324.023999999998"/>
    <x v="643"/>
    <n v="0.3816310150758106"/>
    <x v="6"/>
    <x v="0"/>
    <s v="Clean"/>
  </r>
  <r>
    <s v="ORD-2025-10645"/>
    <d v="2025-04-10T00:00:00"/>
    <d v="2025-04-17T00:00:00"/>
    <s v="CUST-5549"/>
    <s v="Vikram Iyer"/>
    <x v="0"/>
    <x v="1"/>
    <s v="West Bengal"/>
    <s v="Kolkata"/>
    <x v="1"/>
    <x v="4"/>
    <s v="Pro Chairs 812"/>
    <x v="3"/>
    <n v="4"/>
    <n v="3750.02"/>
    <n v="0.05"/>
    <n v="14250.08"/>
    <n v="10914.92"/>
    <n v="3335.16"/>
    <s v="Paid"/>
    <x v="0"/>
    <s v="OK"/>
    <s v="OK"/>
    <s v="OK"/>
    <s v="OK"/>
    <n v="7"/>
    <s v="Unique"/>
    <n v="0.05"/>
    <s v="Valid"/>
    <n v="14250.075999999999"/>
    <x v="644"/>
    <n v="0.23404478684885605"/>
    <x v="5"/>
    <x v="1"/>
    <s v="Clean"/>
  </r>
  <r>
    <s v="ORD-2024-10646"/>
    <d v="2024-01-04T00:00:00"/>
    <d v="2024-01-09T00:00:00"/>
    <s v="CUST-2314"/>
    <s v="Kabir Singh"/>
    <x v="0"/>
    <x v="1"/>
    <s v="Bihar"/>
    <s v="Patna"/>
    <x v="1"/>
    <x v="4"/>
    <s v="Basic Chairs 480"/>
    <x v="0"/>
    <n v="6"/>
    <n v="2423.61"/>
    <n v="0.1"/>
    <n v="13087.49"/>
    <n v="7608.89"/>
    <n v="5133.22"/>
    <s v="Paid"/>
    <x v="0"/>
    <s v="OK"/>
    <s v="OK"/>
    <s v="OK"/>
    <s v="OK"/>
    <n v="5"/>
    <s v="Unique"/>
    <n v="0.1"/>
    <s v="Valid"/>
    <n v="13087.494000000001"/>
    <x v="645"/>
    <n v="0.41861367806548755"/>
    <x v="10"/>
    <x v="0"/>
    <s v="Clean"/>
  </r>
  <r>
    <s v="ORD-2024-10647"/>
    <d v="2024-09-18T00:00:00"/>
    <d v="2024-09-24T00:00:00"/>
    <s v="CUST-6360"/>
    <s v="Vikram Iyer"/>
    <x v="1"/>
    <x v="1"/>
    <s v="Jharkhand"/>
    <s v="Ranchi"/>
    <x v="2"/>
    <x v="12"/>
    <s v="Elite Machines 955"/>
    <x v="2"/>
    <n v="3"/>
    <n v="729.14"/>
    <n v="0.25"/>
    <n v="1640.57"/>
    <n v="1136.98"/>
    <n v="503.59"/>
    <s v="Paid"/>
    <x v="0"/>
    <s v="OK"/>
    <s v="OK"/>
    <s v="OK"/>
    <s v="OK"/>
    <n v="6"/>
    <s v="Unique"/>
    <n v="0.25"/>
    <s v="Valid"/>
    <n v="1640.5650000000001"/>
    <x v="646"/>
    <n v="0.30695827352162214"/>
    <x v="7"/>
    <x v="0"/>
    <s v="Clean"/>
  </r>
  <r>
    <s v="ORD-2025-10648"/>
    <d v="2025-01-01T00:00:00"/>
    <d v="2025-01-09T00:00:00"/>
    <s v="CUST-9942"/>
    <s v="Rohan Mehta"/>
    <x v="1"/>
    <x v="0"/>
    <s v="Punjab"/>
    <s v="Ludhiana"/>
    <x v="0"/>
    <x v="2"/>
    <s v="Prime Art 461"/>
    <x v="2"/>
    <n v="8"/>
    <n v="2123.81"/>
    <n v="0.15"/>
    <n v="14441.91"/>
    <n v="10872.89"/>
    <n v="3569.02"/>
    <s v="Paid"/>
    <x v="0"/>
    <s v="OK"/>
    <s v="OK"/>
    <s v="OK"/>
    <s v="OK"/>
    <n v="8"/>
    <s v="Unique"/>
    <n v="0.15"/>
    <s v="Valid"/>
    <n v="14441.907999999999"/>
    <x v="647"/>
    <n v="0.24712925743606731"/>
    <x v="10"/>
    <x v="1"/>
    <s v="Clean"/>
  </r>
  <r>
    <s v="ORD-2024-10649"/>
    <d v="2024-04-21T00:00:00"/>
    <d v="2024-04-24T00:00:00"/>
    <s v="CUST-1808"/>
    <s v="Neha Gupta"/>
    <x v="1"/>
    <x v="2"/>
    <s v="Andhra Pradesh"/>
    <s v="Vijayawada"/>
    <x v="0"/>
    <x v="2"/>
    <s v="Prime Art 301"/>
    <x v="1"/>
    <n v="9"/>
    <n v="703.59"/>
    <n v="0.2"/>
    <n v="5065.8500000000004"/>
    <n v="3517.23"/>
    <n v="1548.62"/>
    <s v="Failed"/>
    <x v="2"/>
    <s v="OK"/>
    <s v="OK"/>
    <s v="OK"/>
    <s v="OK"/>
    <n v="3"/>
    <s v="Unique"/>
    <n v="0.2"/>
    <s v="Valid"/>
    <n v="5065.8480000000009"/>
    <x v="648"/>
    <n v="0.30569768378364304"/>
    <x v="5"/>
    <x v="0"/>
    <s v="Clean"/>
  </r>
  <r>
    <s v="ORD-2025-10650"/>
    <d v="2025-08-11T00:00:00"/>
    <d v="2025-08-19T00:00:00"/>
    <s v="CUST-7277"/>
    <s v="Kabir Singh"/>
    <x v="1"/>
    <x v="2"/>
    <s v="Kerala"/>
    <s v="Kochi"/>
    <x v="2"/>
    <x v="5"/>
    <s v="Classic Accessories 354"/>
    <x v="3"/>
    <n v="4"/>
    <n v="2258.96"/>
    <n v="0.25"/>
    <n v="6776.88"/>
    <n v="3836.24"/>
    <n v="2940.64"/>
    <s v="Paid"/>
    <x v="0"/>
    <s v="OK"/>
    <s v="OK"/>
    <s v="OK"/>
    <s v="OK"/>
    <n v="8"/>
    <s v="Unique"/>
    <n v="0.25"/>
    <s v="Valid"/>
    <n v="6776.88"/>
    <x v="649"/>
    <n v="0.43392239496641527"/>
    <x v="1"/>
    <x v="1"/>
    <s v="Clean"/>
  </r>
  <r>
    <s v="ORD-2024-10651"/>
    <d v="2024-04-13T00:00:00"/>
    <d v="2024-04-21T00:00:00"/>
    <s v="CUST-7744"/>
    <s v="Aarav Sharma"/>
    <x v="3"/>
    <x v="1"/>
    <s v="Bihar"/>
    <s v="Patna"/>
    <x v="2"/>
    <x v="5"/>
    <s v="Basic Accessories 210"/>
    <x v="1"/>
    <n v="7"/>
    <n v="2648.76"/>
    <n v="0.15"/>
    <n v="15760.12"/>
    <n v="9931.5300000000007"/>
    <n v="5828.59"/>
    <s v="Failed"/>
    <x v="2"/>
    <s v="OK"/>
    <s v="OK"/>
    <s v="OK"/>
    <s v="OK"/>
    <n v="8"/>
    <s v="Unique"/>
    <n v="0.15"/>
    <s v="Valid"/>
    <n v="15760.121999999999"/>
    <x v="650"/>
    <n v="0.36983165485647884"/>
    <x v="5"/>
    <x v="0"/>
    <s v="Clean"/>
  </r>
  <r>
    <s v="ORD-2025-10652"/>
    <d v="2025-08-06T00:00:00"/>
    <d v="2025-08-09T00:00:00"/>
    <s v="CUST-2660"/>
    <s v="Mira Das"/>
    <x v="1"/>
    <x v="2"/>
    <s v="Andhra Pradesh"/>
    <s v="Vijayawada"/>
    <x v="0"/>
    <x v="0"/>
    <s v="Smart Paper 364"/>
    <x v="0"/>
    <n v="3"/>
    <n v="598.54999999999995"/>
    <n v="0"/>
    <n v="1795.65"/>
    <n v="996.72"/>
    <n v="798.93"/>
    <s v="Paid"/>
    <x v="0"/>
    <s v="OK"/>
    <s v="OK"/>
    <s v="OK"/>
    <s v="OK"/>
    <n v="3"/>
    <s v="Unique"/>
    <n v="0"/>
    <s v="Valid"/>
    <n v="1795.6499999999999"/>
    <x v="651"/>
    <n v="0.44492523598696843"/>
    <x v="1"/>
    <x v="1"/>
    <s v="Clean"/>
  </r>
  <r>
    <s v="ORD-2025-10653"/>
    <d v="2025-03-17T00:00:00"/>
    <d v="2025-03-21T00:00:00"/>
    <s v="CUST-8177"/>
    <s v="Sneha Kapoor"/>
    <x v="0"/>
    <x v="0"/>
    <s v="Uttar Pradesh"/>
    <s v="Noida"/>
    <x v="0"/>
    <x v="9"/>
    <s v="Smart Binders 999"/>
    <x v="3"/>
    <n v="5"/>
    <n v="4320.59"/>
    <n v="0.15"/>
    <n v="18362.509999999998"/>
    <n v="11133.97"/>
    <n v="7228.54"/>
    <s v="Paid"/>
    <x v="0"/>
    <s v="OK"/>
    <s v="OK"/>
    <s v="OK"/>
    <s v="OK"/>
    <n v="4"/>
    <s v="Unique"/>
    <n v="0.15"/>
    <s v="Valid"/>
    <n v="18362.5075"/>
    <x v="652"/>
    <n v="0.39365742941153326"/>
    <x v="11"/>
    <x v="1"/>
    <s v="Clean"/>
  </r>
  <r>
    <s v="ORD-2025-10654"/>
    <d v="2025-04-04T00:00:00"/>
    <d v="2025-04-07T00:00:00"/>
    <s v="CUST-3970"/>
    <s v="Priya Menon"/>
    <x v="1"/>
    <x v="2"/>
    <s v="Tamil Nadu"/>
    <s v="Chennai"/>
    <x v="2"/>
    <x v="6"/>
    <s v="Max Copiers 356"/>
    <x v="0"/>
    <n v="7"/>
    <n v="4457.93"/>
    <n v="0.15"/>
    <n v="26524.68"/>
    <n v="20574.3"/>
    <n v="5950.38"/>
    <s v="Paid"/>
    <x v="0"/>
    <s v="OK"/>
    <s v="OK"/>
    <s v="OK"/>
    <s v="OK"/>
    <n v="3"/>
    <s v="Unique"/>
    <n v="0.15"/>
    <s v="Valid"/>
    <n v="26524.683500000003"/>
    <x v="653"/>
    <n v="0.22433381721595294"/>
    <x v="5"/>
    <x v="1"/>
    <s v="Clean"/>
  </r>
  <r>
    <s v="ORD-2025-10655"/>
    <d v="2025-10-12T00:00:00"/>
    <d v="2025-10-16T00:00:00"/>
    <s v="CUST-8249"/>
    <s v="Diya Patel"/>
    <x v="2"/>
    <x v="1"/>
    <s v="Bihar"/>
    <s v="Patna"/>
    <x v="2"/>
    <x v="12"/>
    <s v="Classic Machines 639"/>
    <x v="1"/>
    <n v="1"/>
    <n v="2570.06"/>
    <n v="0.2"/>
    <n v="2056.0500000000002"/>
    <n v="1662.39"/>
    <n v="393.66"/>
    <s v="Paid"/>
    <x v="0"/>
    <s v="OK"/>
    <s v="OK"/>
    <s v="OK"/>
    <s v="OK"/>
    <n v="4"/>
    <s v="Unique"/>
    <n v="0.2"/>
    <s v="Valid"/>
    <n v="2056.0480000000002"/>
    <x v="654"/>
    <n v="0.19146342886936496"/>
    <x v="9"/>
    <x v="1"/>
    <s v="Clean"/>
  </r>
  <r>
    <s v="ORD-2025-10656"/>
    <d v="2025-08-26T00:00:00"/>
    <d v="2025-08-26T00:00:00"/>
    <s v="CUST-8039"/>
    <s v="Neha Gupta"/>
    <x v="3"/>
    <x v="1"/>
    <s v="West Bengal"/>
    <s v="Kolkata"/>
    <x v="1"/>
    <x v="3"/>
    <s v="Smart Furnishings 748"/>
    <x v="3"/>
    <n v="4"/>
    <n v="2151.8200000000002"/>
    <n v="0"/>
    <n v="8607.2800000000007"/>
    <n v="5124.01"/>
    <n v="3483.27"/>
    <s v="Paid"/>
    <x v="0"/>
    <s v="OK"/>
    <s v="OK"/>
    <s v="OK"/>
    <s v="OK"/>
    <n v="0"/>
    <s v="Unique"/>
    <n v="0"/>
    <s v="Valid"/>
    <n v="8607.2800000000007"/>
    <x v="655"/>
    <n v="0.40468882155570635"/>
    <x v="1"/>
    <x v="1"/>
    <s v="Clean"/>
  </r>
  <r>
    <s v="ORD-2024-10657"/>
    <d v="2024-05-07T00:00:00"/>
    <d v="2024-05-14T00:00:00"/>
    <s v="CUST-4446"/>
    <s v="Neha Gupta"/>
    <x v="1"/>
    <x v="0"/>
    <s v="Haryana"/>
    <s v="Gurugram"/>
    <x v="2"/>
    <x v="12"/>
    <s v="Pro Machines 589"/>
    <x v="1"/>
    <n v="4"/>
    <n v="2751.1"/>
    <n v="-0.05"/>
    <n v="9903.9599999999991"/>
    <n v="7696.28"/>
    <n v="2207.6799999999998"/>
    <s v="Paid"/>
    <x v="0"/>
    <s v="OK"/>
    <s v="OK"/>
    <s v="OK"/>
    <s v="OK"/>
    <n v="7"/>
    <s v="Unique"/>
    <n v="-0.05"/>
    <s v="Invalid: Negative Discount"/>
    <n v="11554.62"/>
    <x v="656"/>
    <n v="0.33392184251840396"/>
    <x v="4"/>
    <x v="0"/>
    <s v="Invalid"/>
  </r>
  <r>
    <s v="ORD-2025-10658"/>
    <d v="2025-08-07T00:00:00"/>
    <d v="2025-08-10T00:00:00"/>
    <s v="CUST-7787"/>
    <s v="Aditi Sen"/>
    <x v="3"/>
    <x v="1"/>
    <s v="Bihar"/>
    <s v="Patna"/>
    <x v="0"/>
    <x v="8"/>
    <s v="Eco Storage 316"/>
    <x v="0"/>
    <n v="1"/>
    <n v="2541.25"/>
    <n v="0.2"/>
    <n v="2033"/>
    <n v="1291.4100000000001"/>
    <n v="741.59"/>
    <s v="Paid"/>
    <x v="0"/>
    <s v="OK"/>
    <s v="OK"/>
    <s v="OK"/>
    <s v="OK"/>
    <n v="3"/>
    <s v="Unique"/>
    <n v="0.2"/>
    <s v="Valid"/>
    <n v="2033"/>
    <x v="657"/>
    <n v="0.36477619281849477"/>
    <x v="1"/>
    <x v="1"/>
    <s v="Clean"/>
  </r>
  <r>
    <s v="ORD-2025-10659"/>
    <d v="2025-06-09T00:00:00"/>
    <d v="2025-06-12T00:00:00"/>
    <s v="CUST-9074"/>
    <s v="Sneha Kapoor"/>
    <x v="0"/>
    <x v="4"/>
    <s v="Bihar"/>
    <s v="Patna"/>
    <x v="0"/>
    <x v="2"/>
    <s v="Eco Art 763"/>
    <x v="2"/>
    <n v="7"/>
    <n v="2852.42"/>
    <n v="0"/>
    <n v="19966.939999999999"/>
    <n v="12690.83"/>
    <n v="7276.11"/>
    <s v="Refunded"/>
    <x v="1"/>
    <s v="OK"/>
    <s v="OK"/>
    <s v="OK"/>
    <s v="OK"/>
    <n v="3"/>
    <s v="Unique"/>
    <n v="0"/>
    <s v="Valid"/>
    <n v="19966.940000000002"/>
    <x v="658"/>
    <n v="0.36440786620283339"/>
    <x v="2"/>
    <x v="1"/>
    <s v="Warning"/>
  </r>
  <r>
    <s v="ORD-2025-10660"/>
    <d v="2025-01-21T00:00:00"/>
    <d v="2025-01-22T00:00:00"/>
    <s v="CUST-8330"/>
    <s v="Diya Patel"/>
    <x v="2"/>
    <x v="2"/>
    <s v="Karnataka"/>
    <s v="Bengaluru"/>
    <x v="2"/>
    <x v="11"/>
    <s v="Pro Phones 356"/>
    <x v="0"/>
    <n v="2"/>
    <n v="444.31"/>
    <n v="0.2"/>
    <n v="710.9"/>
    <n v="513.88"/>
    <n v="197.02"/>
    <s v="Refunded"/>
    <x v="1"/>
    <s v="OK"/>
    <s v="OK"/>
    <s v="OK"/>
    <s v="OK"/>
    <n v="1"/>
    <s v="Unique"/>
    <n v="0.2"/>
    <s v="Valid"/>
    <n v="710.89600000000007"/>
    <x v="659"/>
    <n v="0.27713758411919615"/>
    <x v="10"/>
    <x v="1"/>
    <s v="Clean"/>
  </r>
  <r>
    <s v="ORD-2025-10661"/>
    <d v="2025-07-15T00:00:00"/>
    <d v="2025-07-15T00:00:00"/>
    <s v="CUST-5638"/>
    <s v="Arjun Bose"/>
    <x v="1"/>
    <x v="1"/>
    <s v="Jharkhand"/>
    <s v="Ranchi"/>
    <x v="2"/>
    <x v="11"/>
    <s v="Basic Phones 865"/>
    <x v="1"/>
    <n v="4"/>
    <n v="4442.91"/>
    <n v="0.1"/>
    <n v="15994.48"/>
    <n v="9224.2800000000007"/>
    <n v="6770.2"/>
    <s v="Paid"/>
    <x v="0"/>
    <s v="OK"/>
    <s v="OK"/>
    <s v="OK"/>
    <s v="OK"/>
    <n v="0"/>
    <s v="Unique"/>
    <n v="0.1"/>
    <s v="Valid"/>
    <n v="15994.476000000001"/>
    <x v="660"/>
    <n v="0.42328338858991066"/>
    <x v="0"/>
    <x v="1"/>
    <s v="Clean"/>
  </r>
  <r>
    <s v="ORD-2024-10662"/>
    <d v="2024-05-17T00:00:00"/>
    <d v="2024-05-22T00:00:00"/>
    <s v="CUST-4537"/>
    <s v="Sneha Kapoor"/>
    <x v="0"/>
    <x v="2"/>
    <s v="Andhra Pradesh"/>
    <s v="Vijayawada"/>
    <x v="2"/>
    <x v="12"/>
    <s v="Max Machines 595"/>
    <x v="0"/>
    <n v="7"/>
    <n v="232.5"/>
    <n v="0"/>
    <n v="1627.5"/>
    <n v="939.9"/>
    <n v="687.6"/>
    <s v="Paid"/>
    <x v="0"/>
    <s v="OK"/>
    <s v="OK"/>
    <s v="OK"/>
    <s v="OK"/>
    <n v="5"/>
    <s v="Unique"/>
    <n v="0"/>
    <s v="Valid"/>
    <n v="1627.5"/>
    <x v="661"/>
    <n v="0.4224884792626728"/>
    <x v="4"/>
    <x v="0"/>
    <s v="Clean"/>
  </r>
  <r>
    <s v="ORD-2024-10663"/>
    <d v="2024-01-14T00:00:00"/>
    <d v="2024-01-18T00:00:00"/>
    <s v="CUST-3181"/>
    <s v="Mira Das"/>
    <x v="3"/>
    <x v="3"/>
    <s v="Rajasthan"/>
    <s v="Udaipur"/>
    <x v="2"/>
    <x v="12"/>
    <s v="Elite Machines 367"/>
    <x v="1"/>
    <n v="6"/>
    <n v="1784.8"/>
    <n v="0.1"/>
    <n v="9637.92"/>
    <n v="7329.29"/>
    <n v="2308.63"/>
    <s v="Paid"/>
    <x v="0"/>
    <s v="OK"/>
    <s v="OK"/>
    <s v="OK"/>
    <s v="OK"/>
    <n v="4"/>
    <s v="Unique"/>
    <n v="0.1"/>
    <s v="Valid"/>
    <n v="9637.92"/>
    <x v="662"/>
    <n v="0.2395361239769577"/>
    <x v="10"/>
    <x v="0"/>
    <s v="Clean"/>
  </r>
  <r>
    <s v="ORD-2024-10664"/>
    <d v="2024-05-02T00:00:00"/>
    <d v="2024-05-08T00:00:00"/>
    <s v="CUST-1015"/>
    <s v="Rahul Verma"/>
    <x v="3"/>
    <x v="1"/>
    <s v="Jharkhand"/>
    <s v="Ranchi"/>
    <x v="2"/>
    <x v="6"/>
    <s v="Basic Copiers 787"/>
    <x v="0"/>
    <n v="2"/>
    <n v="3185.01"/>
    <n v="-0.24"/>
    <n v="4777.5200000000004"/>
    <n v="3152.98"/>
    <n v="1624.54"/>
    <s v="Paid"/>
    <x v="0"/>
    <s v="OK"/>
    <s v="OK"/>
    <s v="OK"/>
    <s v="OK"/>
    <n v="6"/>
    <s v="Unique"/>
    <n v="-0.24"/>
    <s v="Invalid: Negative Discount"/>
    <n v="7898.8248000000003"/>
    <x v="663"/>
    <n v="0.60082922715287979"/>
    <x v="4"/>
    <x v="0"/>
    <s v="Invalid"/>
  </r>
  <r>
    <s v="ORD-2024-10665"/>
    <d v="2024-12-07T00:00:00"/>
    <d v="2024-12-10T00:00:00"/>
    <s v="CUST-2709"/>
    <s v="Mira Das"/>
    <x v="3"/>
    <x v="2"/>
    <s v="Telangana"/>
    <s v="Hyderabad"/>
    <x v="2"/>
    <x v="5"/>
    <s v="Max Accessories 903"/>
    <x v="3"/>
    <n v="1"/>
    <n v="1908.83"/>
    <n v="0.2"/>
    <n v="1527.06"/>
    <n v="1055.8900000000001"/>
    <n v="471.17"/>
    <s v="Paid"/>
    <x v="0"/>
    <s v="OK"/>
    <s v="OK"/>
    <s v="OK"/>
    <s v="OK"/>
    <n v="3"/>
    <s v="Unique"/>
    <n v="0.2"/>
    <s v="Valid"/>
    <n v="1527.0640000000001"/>
    <x v="664"/>
    <n v="0.30854895407134209"/>
    <x v="8"/>
    <x v="0"/>
    <s v="Clean"/>
  </r>
  <r>
    <s v="ORD-2025-10666"/>
    <d v="2025-01-13T00:00:00"/>
    <d v="2025-01-13T00:00:00"/>
    <s v="CUST-1197"/>
    <s v="Rahul Verma"/>
    <x v="3"/>
    <x v="3"/>
    <s v="Gujarat"/>
    <s v="Ahmedabad"/>
    <x v="0"/>
    <x v="2"/>
    <s v="Max Art 660"/>
    <x v="3"/>
    <n v="3"/>
    <n v="2110.52"/>
    <n v="0.1"/>
    <n v="5698.4"/>
    <n v="3640.89"/>
    <n v="2057.5100000000002"/>
    <s v="Failed"/>
    <x v="1"/>
    <s v="OK"/>
    <s v="OK"/>
    <s v="OK"/>
    <s v="OK"/>
    <n v="0"/>
    <s v="Unique"/>
    <n v="0.1"/>
    <s v="Valid"/>
    <n v="5698.4039999999995"/>
    <x v="665"/>
    <n v="0.36106846759197836"/>
    <x v="10"/>
    <x v="1"/>
    <s v="Clean"/>
  </r>
  <r>
    <s v="ORD-2024-10667"/>
    <d v="2024-06-21T00:00:00"/>
    <d v="2024-06-26T00:00:00"/>
    <s v="CUST-7758"/>
    <s v="Rohan Mehta"/>
    <x v="1"/>
    <x v="0"/>
    <s v="Punjab"/>
    <s v="Ludhiana"/>
    <x v="2"/>
    <x v="6"/>
    <s v="Classic Copiers 908"/>
    <x v="1"/>
    <n v="1"/>
    <n v="279.83"/>
    <n v="0.05"/>
    <n v="265.83999999999997"/>
    <n v="223.49"/>
    <n v="42.35"/>
    <s v="Paid"/>
    <x v="0"/>
    <s v="OK"/>
    <s v="OK"/>
    <s v="OK"/>
    <s v="OK"/>
    <n v="5"/>
    <s v="Unique"/>
    <n v="0.05"/>
    <s v="Valid"/>
    <n v="265.83849999999995"/>
    <x v="666"/>
    <n v="0.15930160605028976"/>
    <x v="2"/>
    <x v="0"/>
    <s v="Clean"/>
  </r>
  <r>
    <s v="ORD-2025-10668"/>
    <d v="2025-05-20T00:00:00"/>
    <d v="2025-05-27T00:00:00"/>
    <s v="CUST-3912"/>
    <s v="Diya Patel"/>
    <x v="1"/>
    <x v="1"/>
    <s v="Bihar"/>
    <s v="Patna"/>
    <x v="2"/>
    <x v="12"/>
    <s v="Pro Machines 706"/>
    <x v="3"/>
    <n v="1"/>
    <n v="3959.14"/>
    <n v="0"/>
    <n v="3959.14"/>
    <n v="3239.53"/>
    <n v="719.61"/>
    <s v="Pending"/>
    <x v="2"/>
    <s v="OK"/>
    <s v="OK"/>
    <s v="OK"/>
    <s v="OK"/>
    <n v="7"/>
    <s v="Unique"/>
    <n v="0"/>
    <s v="Valid"/>
    <n v="3959.14"/>
    <x v="667"/>
    <n v="0.18175916992074029"/>
    <x v="4"/>
    <x v="1"/>
    <s v="Clean"/>
  </r>
  <r>
    <s v="ORD-2024-10669"/>
    <d v="2024-11-21T00:00:00"/>
    <d v="2024-11-23T00:00:00"/>
    <s v="CUST-4190"/>
    <s v="Mira Das"/>
    <x v="2"/>
    <x v="3"/>
    <s v="Gujarat"/>
    <s v="Ahmedabad"/>
    <x v="0"/>
    <x v="0"/>
    <s v="Pro Paper 187"/>
    <x v="0"/>
    <n v="5"/>
    <n v="600.46"/>
    <n v="0.2"/>
    <n v="2401.84"/>
    <n v="1873.11"/>
    <n v="528.73"/>
    <s v="Paid"/>
    <x v="0"/>
    <s v="OK"/>
    <s v="OK"/>
    <s v="OK"/>
    <s v="OK"/>
    <n v="2"/>
    <s v="Unique"/>
    <n v="0.2"/>
    <s v="Valid"/>
    <n v="2401.84"/>
    <x v="668"/>
    <n v="0.22013539619624964"/>
    <x v="3"/>
    <x v="0"/>
    <s v="Clean"/>
  </r>
  <r>
    <s v="ORD-2024-10670"/>
    <d v="2024-03-24T00:00:00"/>
    <d v="2024-04-01T00:00:00"/>
    <s v="CUST-7568"/>
    <s v="Ananya Rao"/>
    <x v="3"/>
    <x v="3"/>
    <s v="Maharashtra"/>
    <s v="Mumbai"/>
    <x v="1"/>
    <x v="1"/>
    <s v="Classic Tables 606"/>
    <x v="0"/>
    <n v="4"/>
    <n v="1700.72"/>
    <n v="0.25"/>
    <n v="5102.16"/>
    <n v="3226.45"/>
    <n v="1875.71"/>
    <s v="Paid"/>
    <x v="0"/>
    <s v="OK"/>
    <s v="OK"/>
    <s v="OK"/>
    <s v="OK"/>
    <n v="8"/>
    <s v="Unique"/>
    <n v="0.25"/>
    <s v="Valid"/>
    <n v="5102.16"/>
    <x v="669"/>
    <n v="0.36763057214983458"/>
    <x v="11"/>
    <x v="0"/>
    <s v="Clean"/>
  </r>
  <r>
    <s v="ORD-2025-10671"/>
    <d v="2025-02-02T00:00:00"/>
    <d v="2025-02-06T00:00:00"/>
    <s v="CUST-5604"/>
    <s v="Sneha Kapoor"/>
    <x v="2"/>
    <x v="0"/>
    <s v="Uttar Pradesh"/>
    <s v="Noida"/>
    <x v="1"/>
    <x v="1"/>
    <s v="Smart Tables 835"/>
    <x v="3"/>
    <n v="8"/>
    <n v="857.86"/>
    <n v="0.1"/>
    <n v="6176.59"/>
    <n v="3560.96"/>
    <n v="2615.63"/>
    <s v="Paid"/>
    <x v="0"/>
    <s v="OK"/>
    <s v="OK"/>
    <s v="OK"/>
    <s v="OK"/>
    <n v="4"/>
    <s v="Unique"/>
    <n v="0.1"/>
    <s v="Valid"/>
    <n v="6176.5920000000006"/>
    <x v="670"/>
    <n v="0.42347495188285067"/>
    <x v="6"/>
    <x v="1"/>
    <s v="Clean"/>
  </r>
  <r>
    <s v="ORD-2024-10672"/>
    <d v="2024-03-22T00:00:00"/>
    <d v="2024-03-27T00:00:00"/>
    <s v="CUST-3293"/>
    <s v="Aditi Sen"/>
    <x v="3"/>
    <x v="3"/>
    <s v="Goa"/>
    <s v="Panaji"/>
    <x v="2"/>
    <x v="6"/>
    <s v="Classic Copiers 583"/>
    <x v="0"/>
    <n v="9"/>
    <n v="3649.51"/>
    <n v="0.05"/>
    <n v="31203.31"/>
    <n v="17738.13"/>
    <n v="13465.18"/>
    <s v="Paid"/>
    <x v="0"/>
    <s v="OK"/>
    <s v="OK"/>
    <s v="OK"/>
    <s v="OK"/>
    <n v="5"/>
    <s v="Unique"/>
    <n v="0.05"/>
    <s v="Valid"/>
    <n v="31203.310500000003"/>
    <x v="671"/>
    <n v="0.43153051020019179"/>
    <x v="11"/>
    <x v="0"/>
    <s v="Clean"/>
  </r>
  <r>
    <s v="ORD-2024-10673"/>
    <d v="2024-09-04T00:00:00"/>
    <d v="2024-09-05T00:00:00"/>
    <s v="CUST-8180"/>
    <s v="Aditi Sen"/>
    <x v="2"/>
    <x v="3"/>
    <s v="Madhya Pradesh"/>
    <s v="Indore"/>
    <x v="1"/>
    <x v="4"/>
    <s v="Classic Chairs 460"/>
    <x v="3"/>
    <n v="5"/>
    <n v="2528.5300000000002"/>
    <n v="0.05"/>
    <n v="12010.52"/>
    <n v="7864.61"/>
    <n v="4145.91"/>
    <s v="Paid"/>
    <x v="2"/>
    <s v="OK"/>
    <s v="OK"/>
    <s v="OK"/>
    <s v="OK"/>
    <n v="1"/>
    <s v="Unique"/>
    <n v="0.05"/>
    <s v="Valid"/>
    <n v="12010.5175"/>
    <x v="672"/>
    <n v="0.34518974723612039"/>
    <x v="7"/>
    <x v="0"/>
    <s v="Clean"/>
  </r>
  <r>
    <s v="ORD-2025-10674"/>
    <d v="2025-02-13T00:00:00"/>
    <d v="2025-02-16T00:00:00"/>
    <s v="CUST-2807"/>
    <s v="Arjun Bose"/>
    <x v="1"/>
    <x v="3"/>
    <s v="Rajasthan"/>
    <s v="Udaipur"/>
    <x v="1"/>
    <x v="10"/>
    <s v="Classic Bookcases 488"/>
    <x v="0"/>
    <n v="4"/>
    <n v="4072.9"/>
    <n v="0.15"/>
    <n v="13847.86"/>
    <n v="8471.7800000000007"/>
    <n v="5376.08"/>
    <s v="Paid"/>
    <x v="0"/>
    <s v="OK"/>
    <s v="OK"/>
    <s v="OK"/>
    <s v="OK"/>
    <n v="3"/>
    <s v="Unique"/>
    <n v="0.15"/>
    <s v="Valid"/>
    <n v="13847.86"/>
    <x v="673"/>
    <n v="0.38822460654570451"/>
    <x v="6"/>
    <x v="1"/>
    <s v="Clean"/>
  </r>
  <r>
    <s v="ORD-2024-10675"/>
    <d v="2024-05-18T00:00:00"/>
    <d v="2024-05-21T00:00:00"/>
    <s v="CUST-4081"/>
    <s v="Vikram Iyer"/>
    <x v="2"/>
    <x v="1"/>
    <s v="Jharkhand"/>
    <s v="Ranchi"/>
    <x v="2"/>
    <x v="5"/>
    <s v="Basic Accessories 944"/>
    <x v="0"/>
    <n v="1"/>
    <n v="1033.71"/>
    <n v="0"/>
    <n v="1033.71"/>
    <n v="630.82000000000005"/>
    <n v="402.89"/>
    <s v="Pending"/>
    <x v="2"/>
    <s v="OK"/>
    <s v="OK"/>
    <s v="OK"/>
    <s v="OK"/>
    <n v="3"/>
    <s v="Unique"/>
    <n v="0"/>
    <s v="Valid"/>
    <n v="1033.71"/>
    <x v="674"/>
    <n v="0.38975147768716562"/>
    <x v="4"/>
    <x v="0"/>
    <s v="Clean"/>
  </r>
  <r>
    <s v="ORD-2025-10676"/>
    <d v="2025-06-07T00:00:00"/>
    <d v="2025-06-10T00:00:00"/>
    <s v="CUST-5061"/>
    <s v="Aarav Sharma"/>
    <x v="0"/>
    <x v="0"/>
    <s v="Rajasthan"/>
    <s v="Jaipur"/>
    <x v="1"/>
    <x v="3"/>
    <s v="Eco Furnishings 217"/>
    <x v="1"/>
    <n v="3"/>
    <n v="963.26"/>
    <n v="0"/>
    <n v="2889.78"/>
    <n v="1811.23"/>
    <n v="1078.55"/>
    <s v="Paid"/>
    <x v="0"/>
    <s v="OK"/>
    <s v="OK"/>
    <s v="OK"/>
    <s v="OK"/>
    <n v="3"/>
    <s v="Unique"/>
    <n v="0"/>
    <s v="Valid"/>
    <n v="2889.7799999999997"/>
    <x v="675"/>
    <n v="0.37322910394562903"/>
    <x v="2"/>
    <x v="1"/>
    <s v="Clean"/>
  </r>
  <r>
    <s v="ORD-2025-10677"/>
    <d v="2025-09-11T00:00:00"/>
    <d v="2025-09-18T00:00:00"/>
    <s v="CUST-9212"/>
    <s v="Rahul Verma"/>
    <x v="1"/>
    <x v="0"/>
    <s v="Delhi"/>
    <s v="New Delhi"/>
    <x v="2"/>
    <x v="11"/>
    <s v="Smart Phones 967"/>
    <x v="1"/>
    <n v="7"/>
    <n v="3411.21"/>
    <n v="0.15"/>
    <n v="20296.7"/>
    <n v="14920.87"/>
    <n v="5375.83"/>
    <s v="Paid"/>
    <x v="0"/>
    <s v="OK"/>
    <s v="OK"/>
    <s v="OK"/>
    <s v="OK"/>
    <n v="7"/>
    <s v="Unique"/>
    <n v="0.15"/>
    <s v="Valid"/>
    <n v="20296.699499999999"/>
    <x v="676"/>
    <n v="0.26486225014071862"/>
    <x v="7"/>
    <x v="1"/>
    <s v="Clean"/>
  </r>
  <r>
    <s v="ORD-2024-10678"/>
    <d v="2024-06-22T00:00:00"/>
    <d v="2024-06-27T00:00:00"/>
    <s v="CUST-4655"/>
    <s v="Isha Nair"/>
    <x v="3"/>
    <x v="2"/>
    <s v="Karnataka"/>
    <s v="Bengaluru"/>
    <x v="1"/>
    <x v="4"/>
    <s v="Smart Chairs 610"/>
    <x v="1"/>
    <n v="7"/>
    <n v="2623.48"/>
    <n v="0"/>
    <n v="18364.36"/>
    <n v="15445.81"/>
    <n v="2918.55"/>
    <s v="Paid"/>
    <x v="0"/>
    <s v="OK"/>
    <s v="OK"/>
    <s v="OK"/>
    <s v="OK"/>
    <n v="5"/>
    <s v="Unique"/>
    <n v="0"/>
    <s v="Valid"/>
    <n v="18364.36"/>
    <x v="677"/>
    <n v="0.15892467801763857"/>
    <x v="2"/>
    <x v="0"/>
    <s v="Clean"/>
  </r>
  <r>
    <s v="ORD-2024-10679"/>
    <d v="2024-11-24T00:00:00"/>
    <d v="2024-12-01T00:00:00"/>
    <s v="CUST-1674"/>
    <s v="Kabir Singh"/>
    <x v="2"/>
    <x v="2"/>
    <s v="Karnataka"/>
    <s v="Bengaluru"/>
    <x v="1"/>
    <x v="1"/>
    <s v="Prime Tables 123"/>
    <x v="0"/>
    <n v="9"/>
    <n v="2763.61"/>
    <n v="0.15"/>
    <n v="21141.62"/>
    <n v="11676.33"/>
    <n v="9465.2900000000009"/>
    <s v="Paid"/>
    <x v="0"/>
    <s v="OK"/>
    <s v="OK"/>
    <s v="OK"/>
    <s v="OK"/>
    <n v="7"/>
    <s v="Unique"/>
    <n v="0.15"/>
    <s v="Valid"/>
    <n v="21141.6165"/>
    <x v="678"/>
    <n v="0.44770874071999178"/>
    <x v="3"/>
    <x v="0"/>
    <s v="Clean"/>
  </r>
  <r>
    <s v="ORD-2025-10680"/>
    <d v="2025-08-16T00:00:00"/>
    <d v="2025-08-23T00:00:00"/>
    <s v="CUST-2897"/>
    <s v="Rohan Mehta"/>
    <x v="2"/>
    <x v="0"/>
    <s v="Punjab"/>
    <s v="Ludhiana"/>
    <x v="2"/>
    <x v="6"/>
    <s v="Smart Copiers 579"/>
    <x v="1"/>
    <n v="4"/>
    <n v="1410.57"/>
    <s v="70%"/>
    <n v="5360.17"/>
    <n v="3881.51"/>
    <n v="1478.66"/>
    <s v="Refunded"/>
    <x v="1"/>
    <s v="OK"/>
    <s v="OK"/>
    <s v="OK"/>
    <s v="OK"/>
    <n v="7"/>
    <s v="Unique"/>
    <n v="0.7"/>
    <s v="Invalid: Above Allowed Range (Text Format)"/>
    <n v="1692.6840000000002"/>
    <x v="679"/>
    <n v="-1.2931096412561351"/>
    <x v="1"/>
    <x v="1"/>
    <s v="Invalid"/>
  </r>
  <r>
    <s v="ORD-2024-10681"/>
    <d v="2024-05-29T00:00:00"/>
    <d v="2024-06-05T00:00:00"/>
    <s v="CUST-1136"/>
    <s v="Kabir Singh"/>
    <x v="2"/>
    <x v="2"/>
    <s v="Tamil Nadu"/>
    <s v="Chennai"/>
    <x v="2"/>
    <x v="5"/>
    <s v="Eco Accessories 658"/>
    <x v="2"/>
    <n v="4"/>
    <n v="3700.24"/>
    <n v="0"/>
    <n v="14800.96"/>
    <n v="12048.39"/>
    <n v="2752.57"/>
    <s v="Paid"/>
    <x v="0"/>
    <s v="OK"/>
    <s v="OK"/>
    <s v="OK"/>
    <s v="OK"/>
    <n v="7"/>
    <s v="Unique"/>
    <n v="0"/>
    <s v="Valid"/>
    <n v="14800.96"/>
    <x v="680"/>
    <n v="0.18597239638509933"/>
    <x v="4"/>
    <x v="0"/>
    <s v="Clean"/>
  </r>
  <r>
    <s v="ORD-2024-10682"/>
    <d v="2024-07-04T00:00:00"/>
    <d v="2024-07-10T00:00:00"/>
    <s v="CUST-1376"/>
    <s v="Vikram Iyer"/>
    <x v="2"/>
    <x v="0"/>
    <s v="Delhi"/>
    <s v="New Delhi"/>
    <x v="1"/>
    <x v="1"/>
    <s v="Smart Tables 777"/>
    <x v="0"/>
    <n v="5"/>
    <n v="1200.27"/>
    <n v="0"/>
    <n v="6001.35"/>
    <n v="4182.99"/>
    <n v="1818.36"/>
    <s v="Paid"/>
    <x v="1"/>
    <s v="OK"/>
    <s v="OK"/>
    <s v="OK"/>
    <s v="OK"/>
    <n v="6"/>
    <s v="Unique"/>
    <n v="0"/>
    <s v="Valid"/>
    <n v="6001.35"/>
    <x v="681"/>
    <n v="0.30299182683896131"/>
    <x v="0"/>
    <x v="0"/>
    <s v="Clean"/>
  </r>
  <r>
    <s v="ORD-2025-10683"/>
    <d v="2025-02-05T00:00:00"/>
    <d v="2025-02-05T00:00:00"/>
    <s v="CUST-1553"/>
    <s v="Ananya Rao"/>
    <x v="2"/>
    <x v="0"/>
    <s v="Haryana"/>
    <s v="Gurugram"/>
    <x v="0"/>
    <x v="8"/>
    <s v="Eco Storage 861"/>
    <x v="1"/>
    <n v="3"/>
    <n v="2590.7800000000002"/>
    <m/>
    <n v="7383.72"/>
    <n v="4113.66"/>
    <n v="3270.06"/>
    <s v="Paid"/>
    <x v="0"/>
    <s v="OK"/>
    <s v="OK"/>
    <s v="OK"/>
    <s v="OK"/>
    <n v="0"/>
    <s v="Unique"/>
    <n v="0"/>
    <s v="Missing - Treated as 0"/>
    <n v="7772.34"/>
    <x v="682"/>
    <n v="0.47073082237781677"/>
    <x v="6"/>
    <x v="1"/>
    <s v="Warning"/>
  </r>
  <r>
    <s v="ORD-2025-10684"/>
    <d v="2025-07-20T00:00:00"/>
    <d v="2025-07-24T00:00:00"/>
    <s v="CUST-5704"/>
    <s v="Arjun Bose"/>
    <x v="1"/>
    <x v="2"/>
    <s v="Telangana"/>
    <s v="Hyderabad"/>
    <x v="1"/>
    <x v="3"/>
    <s v="Eco Furnishings 875"/>
    <x v="0"/>
    <n v="6"/>
    <n v="1646.45"/>
    <n v="0.2"/>
    <n v="7902.96"/>
    <n v="5512.03"/>
    <n v="2390.9299999999998"/>
    <s v="Refunded"/>
    <x v="1"/>
    <s v="OK"/>
    <s v="OK"/>
    <s v="OK"/>
    <s v="OK"/>
    <n v="4"/>
    <s v="Unique"/>
    <n v="0.2"/>
    <s v="Valid"/>
    <n v="7902.9600000000009"/>
    <x v="683"/>
    <n v="0.30253601182341816"/>
    <x v="0"/>
    <x v="1"/>
    <s v="Clean"/>
  </r>
  <r>
    <s v="ORD-2025-10685"/>
    <d v="2025-07-21T00:00:00"/>
    <d v="2025-07-21T00:00:00"/>
    <s v="CUST-6738"/>
    <s v="Isha Nair"/>
    <x v="3"/>
    <x v="2"/>
    <s v="Tamil Nadu"/>
    <s v="Chennai"/>
    <x v="1"/>
    <x v="10"/>
    <s v="Prime Bookcases 784"/>
    <x v="2"/>
    <n v="7"/>
    <n v="4396.6499999999996"/>
    <n v="0.2"/>
    <n v="24621.24"/>
    <n v="17155.48"/>
    <n v="7465.76"/>
    <s v="Refunded"/>
    <x v="1"/>
    <s v="OK"/>
    <s v="OK"/>
    <s v="OK"/>
    <s v="OK"/>
    <n v="0"/>
    <s v="Unique"/>
    <n v="0.2"/>
    <s v="Valid"/>
    <n v="24621.239999999998"/>
    <x v="684"/>
    <n v="0.3032243705028666"/>
    <x v="0"/>
    <x v="1"/>
    <s v="Clean"/>
  </r>
  <r>
    <s v="ORD-2025-10686"/>
    <d v="2025-10-01T00:00:00"/>
    <d v="2025-10-03T00:00:00"/>
    <s v="CUST-2586"/>
    <s v="Neha Gupta"/>
    <x v="2"/>
    <x v="3"/>
    <s v="Goa"/>
    <s v="Panaji"/>
    <x v="0"/>
    <x v="2"/>
    <s v="Classic Art 380"/>
    <x v="3"/>
    <n v="9"/>
    <n v="818.15"/>
    <n v="0.55000000000000004"/>
    <n v="6627.01"/>
    <n v="5606.79"/>
    <n v="1020.22"/>
    <s v="Failed"/>
    <x v="1"/>
    <s v="OK"/>
    <s v="OK"/>
    <s v="OK"/>
    <s v="OK"/>
    <n v="2"/>
    <s v="Unique"/>
    <n v="0.55000000000000004"/>
    <s v="Valid"/>
    <n v="3313.5074999999993"/>
    <x v="685"/>
    <n v="-0.69210119488185895"/>
    <x v="9"/>
    <x v="1"/>
    <s v="Clean"/>
  </r>
  <r>
    <s v="ORD-2024-10687"/>
    <d v="2024-03-25T00:00:00"/>
    <d v="2024-04-02T00:00:00"/>
    <s v="CUST-3127"/>
    <s v="Sneha Kapoor"/>
    <x v="3"/>
    <x v="2"/>
    <s v="Tamil Nadu"/>
    <s v="Chennai"/>
    <x v="2"/>
    <x v="6"/>
    <s v="Pro Copiers 502"/>
    <x v="3"/>
    <n v="2"/>
    <n v="2349.13"/>
    <n v="0"/>
    <n v="4698.26"/>
    <n v="2654.92"/>
    <n v="2043.34"/>
    <s v="Paid"/>
    <x v="0"/>
    <s v="OK"/>
    <s v="OK"/>
    <s v="OK"/>
    <s v="OK"/>
    <n v="8"/>
    <s v="Unique"/>
    <n v="0"/>
    <s v="Valid"/>
    <n v="4698.26"/>
    <x v="686"/>
    <n v="0.43491420227914163"/>
    <x v="11"/>
    <x v="0"/>
    <s v="Clean"/>
  </r>
  <r>
    <s v="ORD-2025-10688"/>
    <d v="2025-10-08T00:00:00"/>
    <d v="2025-10-13T00:00:00"/>
    <s v="CUST-9347"/>
    <s v="Mira Das"/>
    <x v="3"/>
    <x v="0"/>
    <s v="Punjab"/>
    <s v="Ludhiana"/>
    <x v="1"/>
    <x v="1"/>
    <s v="Prime Tables 604"/>
    <x v="2"/>
    <n v="4"/>
    <n v="172.05"/>
    <n v="0"/>
    <n v="688.2"/>
    <n v="497.68"/>
    <n v="190.52"/>
    <s v="Failed"/>
    <x v="1"/>
    <s v="OK"/>
    <s v="OK"/>
    <s v="OK"/>
    <s v="OK"/>
    <n v="5"/>
    <s v="Unique"/>
    <n v="0"/>
    <s v="Valid"/>
    <n v="688.2"/>
    <x v="687"/>
    <n v="0.27683812845103173"/>
    <x v="9"/>
    <x v="1"/>
    <s v="Clean"/>
  </r>
  <r>
    <s v="ORD-2025-10689"/>
    <d v="2025-02-26T00:00:00"/>
    <d v="2025-02-27T00:00:00"/>
    <s v="CUST-8575"/>
    <s v="Neha Gupta"/>
    <x v="3"/>
    <x v="0"/>
    <s v="Haryana"/>
    <s v="Gurugram"/>
    <x v="0"/>
    <x v="2"/>
    <s v="Basic Art 798"/>
    <x v="0"/>
    <n v="6"/>
    <n v="3037.66"/>
    <n v="0.15"/>
    <n v="15492.07"/>
    <n v="12581.23"/>
    <n v="2910.84"/>
    <s v="Paid"/>
    <x v="0"/>
    <s v="OK"/>
    <s v="OK"/>
    <s v="OK"/>
    <s v="OK"/>
    <n v="1"/>
    <s v="Unique"/>
    <n v="0.15"/>
    <s v="Valid"/>
    <n v="15492.065999999999"/>
    <x v="688"/>
    <n v="0.18789204745190213"/>
    <x v="6"/>
    <x v="1"/>
    <s v="Clean"/>
  </r>
  <r>
    <s v="ORD-2024-10690"/>
    <d v="2024-10-05T00:00:00"/>
    <d v="2024-10-06T00:00:00"/>
    <s v="CUST-4382"/>
    <s v="Rohan Mehta"/>
    <x v="1"/>
    <x v="0"/>
    <s v="Punjab"/>
    <s v="Ludhiana"/>
    <x v="1"/>
    <x v="1"/>
    <s v="Elite Tables 717"/>
    <x v="3"/>
    <n v="9"/>
    <n v="489.58"/>
    <n v="0.15"/>
    <n v="3745.29"/>
    <n v="2302.65"/>
    <n v="1442.64"/>
    <s v="Failed"/>
    <x v="1"/>
    <s v="OK"/>
    <s v="OK"/>
    <s v="OK"/>
    <s v="OK"/>
    <n v="1"/>
    <s v="Unique"/>
    <n v="0.15"/>
    <s v="Valid"/>
    <n v="3745.2870000000003"/>
    <x v="689"/>
    <n v="0.38518730340291679"/>
    <x v="9"/>
    <x v="0"/>
    <s v="Clean"/>
  </r>
  <r>
    <s v="ORD-2024-10691"/>
    <d v="2024-09-11T00:00:00"/>
    <d v="2024-09-15T00:00:00"/>
    <s v="CUST-6815"/>
    <s v="Sneha Kapoor"/>
    <x v="2"/>
    <x v="2"/>
    <s v="Tamil Nadu"/>
    <s v="Chennai"/>
    <x v="0"/>
    <x v="2"/>
    <s v="Max Art 725"/>
    <x v="3"/>
    <n v="4"/>
    <n v="865.63"/>
    <n v="0"/>
    <n v="3462.52"/>
    <n v="2797.29"/>
    <n v="665.23"/>
    <s v="Failed"/>
    <x v="2"/>
    <s v="OK"/>
    <s v="OK"/>
    <s v="OK"/>
    <s v="OK"/>
    <n v="4"/>
    <s v="Unique"/>
    <n v="0"/>
    <s v="Valid"/>
    <n v="3462.52"/>
    <x v="690"/>
    <n v="0.19212307798944123"/>
    <x v="7"/>
    <x v="0"/>
    <s v="Clean"/>
  </r>
  <r>
    <s v="ORD-2024-10692"/>
    <d v="2024-12-15T00:00:00"/>
    <d v="2024-12-16T00:00:00"/>
    <s v="CUST-7309"/>
    <s v="Rohan Mehta"/>
    <x v="0"/>
    <x v="1"/>
    <s v="Odisha"/>
    <s v="Bhubaneswar"/>
    <x v="2"/>
    <x v="6"/>
    <s v="Smart Copiers 456"/>
    <x v="0"/>
    <n v="6"/>
    <n v="1538.1"/>
    <n v="0.05"/>
    <n v="8767.17"/>
    <n v="5098.2"/>
    <n v="3668.97"/>
    <s v="Paid"/>
    <x v="0"/>
    <s v="OK"/>
    <s v="OK"/>
    <s v="OK"/>
    <s v="OK"/>
    <n v="1"/>
    <s v="Unique"/>
    <n v="0.05"/>
    <s v="Valid"/>
    <n v="8767.1699999999983"/>
    <x v="691"/>
    <n v="0.41848966085977563"/>
    <x v="8"/>
    <x v="0"/>
    <s v="Clean"/>
  </r>
  <r>
    <s v="ORD-2025-10693"/>
    <d v="2025-10-05T00:00:00"/>
    <d v="2025-10-10T00:00:00"/>
    <s v="CUST-9531"/>
    <s v="Isha Nair"/>
    <x v="2"/>
    <x v="2"/>
    <s v="Karnataka"/>
    <s v="Bengaluru"/>
    <x v="1"/>
    <x v="3"/>
    <s v="Prime Furnishings 883"/>
    <x v="0"/>
    <n v="4"/>
    <n v="2365.6799999999998"/>
    <n v="0.1"/>
    <n v="8516.4500000000007"/>
    <n v="5903.81"/>
    <n v="2612.64"/>
    <s v="Paid"/>
    <x v="0"/>
    <s v="OK"/>
    <s v="OK"/>
    <s v="OK"/>
    <s v="OK"/>
    <n v="5"/>
    <s v="Unique"/>
    <n v="0.1"/>
    <s v="Valid"/>
    <n v="8516.4480000000003"/>
    <x v="692"/>
    <n v="0.30677554774009069"/>
    <x v="9"/>
    <x v="1"/>
    <s v="Clean"/>
  </r>
  <r>
    <s v="ORD-2025-10694"/>
    <d v="2025-04-03T00:00:00"/>
    <d v="2025-04-11T00:00:00"/>
    <s v="CUST-6032"/>
    <s v="Arjun Bose"/>
    <x v="0"/>
    <x v="2"/>
    <s v="Tamil Nadu"/>
    <s v="Chennai"/>
    <x v="1"/>
    <x v="10"/>
    <s v="Smart Bookcases 828"/>
    <x v="0"/>
    <n v="3"/>
    <n v="4149.7700000000004"/>
    <n v="0.05"/>
    <n v="11826.84"/>
    <n v="8035.96"/>
    <n v="3790.88"/>
    <s v="Paid"/>
    <x v="0"/>
    <s v="OK"/>
    <s v="OK"/>
    <s v="OK"/>
    <s v="OK"/>
    <n v="8"/>
    <s v="Unique"/>
    <n v="0.05"/>
    <s v="Valid"/>
    <n v="11826.844500000001"/>
    <x v="693"/>
    <n v="0.32053220112938835"/>
    <x v="5"/>
    <x v="1"/>
    <s v="Clean"/>
  </r>
  <r>
    <s v="ORD-2025-10695"/>
    <d v="2025-08-01T00:00:00"/>
    <d v="2025-08-09T00:00:00"/>
    <s v="CUST-8025"/>
    <s v="Isha Nair"/>
    <x v="0"/>
    <x v="2"/>
    <s v="Andhra Pradesh"/>
    <s v="Vijayawada"/>
    <x v="0"/>
    <x v="8"/>
    <s v="Classic Storage 291"/>
    <x v="2"/>
    <n v="5"/>
    <n v="2736.24"/>
    <n v="0.15"/>
    <n v="11629.02"/>
    <n v="9627.2099999999991"/>
    <n v="2001.81"/>
    <s v="Paid"/>
    <x v="0"/>
    <s v="OK"/>
    <s v="OK"/>
    <s v="OK"/>
    <s v="OK"/>
    <n v="8"/>
    <s v="Unique"/>
    <n v="0.15"/>
    <s v="Valid"/>
    <n v="11629.019999999999"/>
    <x v="694"/>
    <n v="0.17213918283741877"/>
    <x v="1"/>
    <x v="1"/>
    <s v="Clean"/>
  </r>
  <r>
    <s v="ORD-2024-10696"/>
    <d v="2024-07-01T00:00:00"/>
    <d v="2024-07-01T00:00:00"/>
    <s v="CUST-6257"/>
    <s v="Aarav Sharma"/>
    <x v="0"/>
    <x v="3"/>
    <s v="Madhya Pradesh"/>
    <s v="Indore"/>
    <x v="2"/>
    <x v="12"/>
    <s v="Prime Machines 102"/>
    <x v="3"/>
    <n v="4"/>
    <n v="257.39"/>
    <n v="0"/>
    <n v="1029.56"/>
    <n v="626.33000000000004"/>
    <n v="403.23"/>
    <s v="Paid"/>
    <x v="0"/>
    <s v="OK"/>
    <s v="OK"/>
    <s v="OK"/>
    <s v="OK"/>
    <n v="0"/>
    <s v="Unique"/>
    <n v="0"/>
    <s v="Valid"/>
    <n v="1029.56"/>
    <x v="695"/>
    <n v="0.39165274486188267"/>
    <x v="0"/>
    <x v="0"/>
    <s v="Clean"/>
  </r>
  <r>
    <s v="ORD-2025-10697"/>
    <d v="2025-09-22T00:00:00"/>
    <d v="2025-09-25T00:00:00"/>
    <s v="CUST-7812"/>
    <s v="Isha Nair"/>
    <x v="1"/>
    <x v="2"/>
    <s v="Kerala"/>
    <s v="Kochi"/>
    <x v="2"/>
    <x v="11"/>
    <s v="Classic Phones 842"/>
    <x v="4"/>
    <n v="4"/>
    <n v="1178.8399999999999"/>
    <n v="0.25"/>
    <n v="3536.52"/>
    <n v="2102.41"/>
    <n v="1363.28"/>
    <s v="Paid"/>
    <x v="0"/>
    <s v="OK"/>
    <s v="OK"/>
    <s v="OK"/>
    <s v="OK"/>
    <n v="3"/>
    <s v="Unique"/>
    <n v="0.25"/>
    <s v="Valid"/>
    <n v="3536.5199999999995"/>
    <x v="696"/>
    <n v="0.40551446054313278"/>
    <x v="7"/>
    <x v="1"/>
    <s v="Warning"/>
  </r>
  <r>
    <s v="ORD-2025-10698"/>
    <d v="2025-03-01T00:00:00"/>
    <d v="2025-03-07T00:00:00"/>
    <s v="CUST-6205"/>
    <s v="Arjun Bose"/>
    <x v="2"/>
    <x v="2"/>
    <s v="Andhra Pradesh"/>
    <s v="Vijayawada"/>
    <x v="0"/>
    <x v="7"/>
    <s v="Max Labels 970"/>
    <x v="2"/>
    <n v="7"/>
    <n v="567.15"/>
    <m/>
    <n v="2977.54"/>
    <n v="1849.3"/>
    <n v="1128.24"/>
    <s v="Refunded"/>
    <x v="2"/>
    <s v="OK"/>
    <s v="OK"/>
    <s v="OK"/>
    <s v="OK"/>
    <n v="6"/>
    <s v="Unique"/>
    <n v="0"/>
    <s v="Missing - Treated as 0"/>
    <n v="3970.0499999999997"/>
    <x v="697"/>
    <n v="0.53418722686112274"/>
    <x v="11"/>
    <x v="1"/>
    <s v="Warning"/>
  </r>
  <r>
    <s v="ORD-2024-10699"/>
    <d v="2024-09-14T00:00:00"/>
    <d v="2024-09-14T00:00:00"/>
    <s v="CUST-5357"/>
    <s v="Mira Das"/>
    <x v="2"/>
    <x v="0"/>
    <s v="Rajasthan"/>
    <s v="Jaipur"/>
    <x v="2"/>
    <x v="12"/>
    <s v="Classic Machines 648"/>
    <x v="3"/>
    <n v="8"/>
    <n v="4081.66"/>
    <n v="0.15"/>
    <n v="28208.1"/>
    <n v="23751.91"/>
    <n v="4003.38"/>
    <s v="Paid"/>
    <x v="2"/>
    <s v="OK"/>
    <s v="OK"/>
    <s v="OK"/>
    <s v="OK"/>
    <n v="0"/>
    <s v="Unique"/>
    <n v="0.15"/>
    <s v="Valid"/>
    <n v="27755.287999999997"/>
    <x v="698"/>
    <n v="0.14423838801456493"/>
    <x v="7"/>
    <x v="0"/>
    <s v="Clean"/>
  </r>
  <r>
    <s v="ORD-2024-10700"/>
    <d v="2024-06-11T00:00:00"/>
    <d v="2024-06-11T00:00:00"/>
    <s v="CUST-9802"/>
    <s v="Arjun Bose"/>
    <x v="1"/>
    <x v="2"/>
    <s v="Karnataka"/>
    <s v="Bengaluru"/>
    <x v="1"/>
    <x v="10"/>
    <s v="Max Bookcases 565"/>
    <x v="3"/>
    <n v="9"/>
    <n v="1400.11"/>
    <n v="0.25"/>
    <n v="9450.74"/>
    <n v="7798.56"/>
    <n v="1652.18"/>
    <s v="Paid"/>
    <x v="0"/>
    <s v="OK"/>
    <s v="OK"/>
    <s v="OK"/>
    <s v="OK"/>
    <n v="0"/>
    <s v="Unique"/>
    <n v="0.25"/>
    <s v="Valid"/>
    <n v="9450.7425000000003"/>
    <x v="699"/>
    <n v="0.17482039109625511"/>
    <x v="2"/>
    <x v="0"/>
    <s v="Clean"/>
  </r>
  <r>
    <s v="ORD-2024-10701"/>
    <d v="2024-09-18T00:00:00"/>
    <d v="2024-09-21T00:00:00"/>
    <s v="CUST-5646"/>
    <s v="Neha Gupta"/>
    <x v="2"/>
    <x v="1"/>
    <s v="West Bengal"/>
    <s v="Kolkata"/>
    <x v="2"/>
    <x v="12"/>
    <s v="Basic Machines 220"/>
    <x v="3"/>
    <n v="3"/>
    <n v="3055.9"/>
    <n v="0.15"/>
    <n v="7792.55"/>
    <n v="4691.7299999999996"/>
    <n v="3100.82"/>
    <s v="Paid"/>
    <x v="0"/>
    <s v="OK"/>
    <s v="OK"/>
    <s v="OK"/>
    <s v="OK"/>
    <n v="3"/>
    <s v="Unique"/>
    <n v="0.15"/>
    <s v="Valid"/>
    <n v="7792.5450000000001"/>
    <x v="700"/>
    <n v="0.39792070498149201"/>
    <x v="7"/>
    <x v="0"/>
    <s v="Clean"/>
  </r>
  <r>
    <s v="ORD-2024-10702"/>
    <d v="2024-04-30T00:00:00"/>
    <d v="2024-05-04T00:00:00"/>
    <s v="CUST-7171"/>
    <s v="Rohan Mehta"/>
    <x v="1"/>
    <x v="3"/>
    <s v="Gujarat"/>
    <s v="Ahmedabad"/>
    <x v="0"/>
    <x v="2"/>
    <s v="Pro Art 151"/>
    <x v="1"/>
    <n v="7"/>
    <n v="1224.94"/>
    <n v="0"/>
    <n v="8574.58"/>
    <n v="6685.81"/>
    <n v="1888.77"/>
    <s v="Paid"/>
    <x v="2"/>
    <s v="OK"/>
    <s v="OK"/>
    <s v="OK"/>
    <s v="OK"/>
    <n v="4"/>
    <s v="Unique"/>
    <n v="0"/>
    <s v="Valid"/>
    <n v="8574.58"/>
    <x v="701"/>
    <n v="0.22027551203674112"/>
    <x v="5"/>
    <x v="0"/>
    <s v="Clean"/>
  </r>
  <r>
    <s v="ORD-2025-10703"/>
    <d v="2025-02-02T00:00:00"/>
    <d v="2025-02-06T00:00:00"/>
    <s v="CUST-5231"/>
    <s v="Karan Malhotra"/>
    <x v="1"/>
    <x v="3"/>
    <s v="Rajasthan"/>
    <s v="Udaipur"/>
    <x v="1"/>
    <x v="1"/>
    <s v="Pro Tables 980"/>
    <x v="0"/>
    <n v="3"/>
    <n v="997.34"/>
    <n v="0.1"/>
    <n v="2692.82"/>
    <n v="1820.08"/>
    <n v="872.74"/>
    <s v="Paid"/>
    <x v="0"/>
    <s v="OK"/>
    <s v="OK"/>
    <s v="OK"/>
    <s v="OK"/>
    <n v="4"/>
    <s v="Unique"/>
    <n v="0.1"/>
    <s v="Valid"/>
    <n v="2692.8180000000002"/>
    <x v="702"/>
    <n v="0.32409839803506968"/>
    <x v="6"/>
    <x v="1"/>
    <s v="Clean"/>
  </r>
  <r>
    <s v="ORD-2024-10704"/>
    <d v="2024-10-19T00:00:00"/>
    <d v="2024-10-20T00:00:00"/>
    <s v="CUST-8734"/>
    <s v="Aditi Sen"/>
    <x v="2"/>
    <x v="0"/>
    <s v="Rajasthan"/>
    <s v="Jaipur"/>
    <x v="1"/>
    <x v="1"/>
    <s v="Classic Tables 997"/>
    <x v="2"/>
    <n v="1"/>
    <n v="1150.03"/>
    <n v="0.1"/>
    <n v="1035.03"/>
    <n v="854.35"/>
    <n v="180.68"/>
    <s v="Paid"/>
    <x v="0"/>
    <s v="OK"/>
    <s v="OK"/>
    <s v="OK"/>
    <s v="OK"/>
    <n v="1"/>
    <s v="Unique"/>
    <n v="0.1"/>
    <s v="Valid"/>
    <n v="1035.027"/>
    <x v="703"/>
    <n v="0.1745625959516032"/>
    <x v="9"/>
    <x v="0"/>
    <s v="Clean"/>
  </r>
  <r>
    <s v="ORD-2024-10705"/>
    <d v="2024-03-13T00:00:00"/>
    <d v="2024-03-20T00:00:00"/>
    <s v="CUST-4916"/>
    <s v="Priya Menon"/>
    <x v="3"/>
    <x v="2"/>
    <s v="Tamil Nadu"/>
    <s v="Chennai"/>
    <x v="1"/>
    <x v="10"/>
    <s v="Max Bookcases 738"/>
    <x v="4"/>
    <n v="1"/>
    <n v="2825.63"/>
    <n v="0.15"/>
    <n v="2401.79"/>
    <n v="1820.34"/>
    <n v="581.45000000000005"/>
    <s v="Paid"/>
    <x v="0"/>
    <s v="OK"/>
    <s v="OK"/>
    <s v="OK"/>
    <s v="OK"/>
    <n v="7"/>
    <s v="Unique"/>
    <n v="0.15"/>
    <s v="Valid"/>
    <n v="2401.7855"/>
    <x v="704"/>
    <n v="0.24208885431276025"/>
    <x v="11"/>
    <x v="0"/>
    <s v="Warning"/>
  </r>
  <r>
    <s v="ORD-2024-10706"/>
    <d v="2024-09-08T00:00:00"/>
    <d v="2024-09-14T00:00:00"/>
    <s v="CUST-3289"/>
    <s v="Rohan Mehta"/>
    <x v="0"/>
    <x v="0"/>
    <s v="Rajasthan"/>
    <s v="Jaipur"/>
    <x v="0"/>
    <x v="9"/>
    <s v="Max Binders 411"/>
    <x v="3"/>
    <n v="5"/>
    <n v="3371.75"/>
    <n v="0.05"/>
    <n v="16015.81"/>
    <n v="11352.38"/>
    <n v="4663.43"/>
    <s v="Paid"/>
    <x v="0"/>
    <s v="OK"/>
    <s v="OK"/>
    <s v="OK"/>
    <s v="OK"/>
    <n v="6"/>
    <s v="Unique"/>
    <n v="0.05"/>
    <s v="Valid"/>
    <n v="16015.8125"/>
    <x v="705"/>
    <n v="0.29117676671102394"/>
    <x v="7"/>
    <x v="0"/>
    <s v="Clean"/>
  </r>
  <r>
    <s v="ORD-2024-10707"/>
    <d v="2024-06-24T00:00:00"/>
    <d v="2024-06-28T00:00:00"/>
    <s v="CUST-4928"/>
    <s v="Isha Nair"/>
    <x v="1"/>
    <x v="1"/>
    <s v="Odisha"/>
    <s v="Bhubaneswar"/>
    <x v="0"/>
    <x v="0"/>
    <s v="Max Paper 343"/>
    <x v="1"/>
    <n v="1"/>
    <n v="2112.75"/>
    <n v="0.1"/>
    <n v="1901.48"/>
    <n v="1354.28"/>
    <n v="547.20000000000005"/>
    <s v="Paid"/>
    <x v="0"/>
    <s v="OK"/>
    <s v="OK"/>
    <s v="OK"/>
    <s v="OK"/>
    <n v="4"/>
    <s v="Unique"/>
    <n v="0.1"/>
    <s v="Valid"/>
    <n v="1901.4750000000001"/>
    <x v="706"/>
    <n v="0.28777396494826391"/>
    <x v="2"/>
    <x v="0"/>
    <s v="Clean"/>
  </r>
  <r>
    <s v="ORD-2025-10708"/>
    <d v="2025-06-24T00:00:00"/>
    <d v="2025-06-26T00:00:00"/>
    <s v="CUST-4902"/>
    <s v="Vikram Iyer"/>
    <x v="0"/>
    <x v="0"/>
    <s v="Rajasthan"/>
    <s v="Jaipur"/>
    <x v="2"/>
    <x v="5"/>
    <s v="Pro Accessories 485"/>
    <x v="1"/>
    <n v="5"/>
    <n v="3722.66"/>
    <n v="0.55000000000000004"/>
    <n v="16751.97"/>
    <n v="11678.32"/>
    <n v="5073.6499999999996"/>
    <s v="Paid"/>
    <x v="0"/>
    <s v="OK"/>
    <s v="OK"/>
    <s v="OK"/>
    <s v="OK"/>
    <n v="2"/>
    <s v="Unique"/>
    <n v="0.55000000000000004"/>
    <s v="Valid"/>
    <n v="8375.9849999999988"/>
    <x v="707"/>
    <n v="-0.39426228676388525"/>
    <x v="2"/>
    <x v="1"/>
    <s v="Clean"/>
  </r>
  <r>
    <s v="ORD-2025-10709"/>
    <d v="2025-03-20T00:00:00"/>
    <d v="2025-03-26T00:00:00"/>
    <s v="CUST-6504"/>
    <s v="Sneha Kapoor"/>
    <x v="0"/>
    <x v="1"/>
    <s v="Assam"/>
    <s v="Guwahati"/>
    <x v="1"/>
    <x v="10"/>
    <s v="Elite Bookcases 113"/>
    <x v="2"/>
    <n v="4"/>
    <n v="4357.66"/>
    <n v="0.05"/>
    <n v="16559.11"/>
    <n v="13233.79"/>
    <n v="3325.32"/>
    <s v="Paid"/>
    <x v="0"/>
    <s v="OK"/>
    <s v="OK"/>
    <s v="OK"/>
    <s v="OK"/>
    <n v="6"/>
    <s v="Unique"/>
    <n v="0.05"/>
    <s v="Valid"/>
    <n v="16559.108"/>
    <x v="708"/>
    <n v="0.20081504390212318"/>
    <x v="11"/>
    <x v="1"/>
    <s v="Clean"/>
  </r>
  <r>
    <s v="ORD-2025-10710"/>
    <d v="2025-01-19T00:00:00"/>
    <d v="2025-01-23T00:00:00"/>
    <s v="CUST-8036"/>
    <s v="Kabir Singh"/>
    <x v="3"/>
    <x v="0"/>
    <s v="Punjab"/>
    <s v="Ludhiana"/>
    <x v="2"/>
    <x v="11"/>
    <s v="Eco Phones 787"/>
    <x v="1"/>
    <n v="7"/>
    <n v="1363.04"/>
    <n v="0.15"/>
    <n v="8110.09"/>
    <n v="6417.32"/>
    <n v="1692.77"/>
    <s v="Paid"/>
    <x v="1"/>
    <s v="OK"/>
    <s v="OK"/>
    <s v="OK"/>
    <s v="OK"/>
    <n v="4"/>
    <s v="Unique"/>
    <n v="0.15"/>
    <s v="Valid"/>
    <n v="8110.0879999999988"/>
    <x v="709"/>
    <n v="0.2087237524426368"/>
    <x v="10"/>
    <x v="1"/>
    <s v="Clean"/>
  </r>
  <r>
    <s v="ORD-2024-10711"/>
    <d v="2024-07-12T00:00:00"/>
    <d v="2024-07-19T00:00:00"/>
    <s v="CUST-7199"/>
    <s v="Vikram Iyer"/>
    <x v="2"/>
    <x v="0"/>
    <s v="Punjab"/>
    <s v="Ludhiana"/>
    <x v="0"/>
    <x v="2"/>
    <s v="Smart Art 279"/>
    <x v="0"/>
    <n v="5"/>
    <n v="1559.16"/>
    <n v="0.05"/>
    <n v="7406.01"/>
    <n v="5941.74"/>
    <n v="1464.27"/>
    <s v="Paid"/>
    <x v="0"/>
    <s v="OK"/>
    <s v="OK"/>
    <s v="OK"/>
    <s v="OK"/>
    <n v="7"/>
    <s v="Unique"/>
    <n v="0.05"/>
    <s v="Valid"/>
    <n v="7406.01"/>
    <x v="710"/>
    <n v="0.19771374869869207"/>
    <x v="0"/>
    <x v="0"/>
    <s v="Clean"/>
  </r>
  <r>
    <s v="ORD-2025-10712"/>
    <d v="2025-02-02T00:00:00"/>
    <d v="2025-02-02T00:00:00"/>
    <s v="CUST-6176"/>
    <s v="Kabir Singh"/>
    <x v="2"/>
    <x v="1"/>
    <s v="West Bengal"/>
    <s v="Kolkata"/>
    <x v="2"/>
    <x v="12"/>
    <s v="Basic Machines 172"/>
    <x v="2"/>
    <n v="1"/>
    <n v="4326.75"/>
    <n v="0.05"/>
    <n v="4110.41"/>
    <n v="2394.14"/>
    <n v="1716.27"/>
    <s v="Pending"/>
    <x v="2"/>
    <s v="OK"/>
    <s v="OK"/>
    <s v="OK"/>
    <s v="OK"/>
    <n v="0"/>
    <s v="Unique"/>
    <n v="0.05"/>
    <s v="Valid"/>
    <n v="4110.4124999999995"/>
    <x v="711"/>
    <n v="0.41754264322619683"/>
    <x v="6"/>
    <x v="1"/>
    <s v="Clean"/>
  </r>
  <r>
    <s v="ORD-2024-10713"/>
    <d v="2024-02-10T00:00:00"/>
    <d v="2024-02-18T00:00:00"/>
    <s v="CUST-5127"/>
    <s v="Isha Nair"/>
    <x v="3"/>
    <x v="3"/>
    <s v="Madhya Pradesh"/>
    <s v="Indore"/>
    <x v="1"/>
    <x v="4"/>
    <s v="Smart Chairs 259"/>
    <x v="2"/>
    <n v="7"/>
    <n v="1382.86"/>
    <n v="0"/>
    <n v="9680.02"/>
    <n v="6876.66"/>
    <n v="2803.36"/>
    <s v="Paid"/>
    <x v="0"/>
    <s v="OK"/>
    <s v="OK"/>
    <s v="OK"/>
    <s v="OK"/>
    <n v="8"/>
    <s v="Unique"/>
    <n v="0"/>
    <s v="Valid"/>
    <n v="9680.0199999999986"/>
    <x v="712"/>
    <n v="0.28960270743242256"/>
    <x v="6"/>
    <x v="0"/>
    <s v="Clean"/>
  </r>
  <r>
    <s v="ORD-2025-10714"/>
    <d v="2025-06-06T00:00:00"/>
    <d v="2025-06-10T00:00:00"/>
    <s v="CUST-2548"/>
    <s v="Mira Das"/>
    <x v="0"/>
    <x v="3"/>
    <s v="Rajasthan"/>
    <s v="Udaipur"/>
    <x v="2"/>
    <x v="12"/>
    <s v="Pro Machines 987"/>
    <x v="0"/>
    <n v="1"/>
    <n v="289.97000000000003"/>
    <n v="0.25"/>
    <n v="217.48"/>
    <n v="132.13"/>
    <n v="85.35"/>
    <s v="Paid"/>
    <x v="0"/>
    <s v="OK"/>
    <s v="OK"/>
    <s v="OK"/>
    <s v="OK"/>
    <n v="4"/>
    <s v="Unique"/>
    <n v="0.25"/>
    <s v="Valid"/>
    <n v="217.47750000000002"/>
    <x v="713"/>
    <n v="0.39244289639158081"/>
    <x v="2"/>
    <x v="1"/>
    <s v="Clean"/>
  </r>
  <r>
    <s v="ORD-2025-10715"/>
    <d v="2025-03-22T00:00:00"/>
    <d v="2025-03-23T00:00:00"/>
    <s v="CUST-9902"/>
    <s v="Karan Malhotra"/>
    <x v="3"/>
    <x v="0"/>
    <s v="Delhi"/>
    <s v="New Delhi"/>
    <x v="2"/>
    <x v="6"/>
    <s v="Pro Copiers 206"/>
    <x v="3"/>
    <n v="9"/>
    <n v="2075.02"/>
    <n v="0"/>
    <n v="18675.18"/>
    <n v="13974.7"/>
    <n v="4700.4799999999996"/>
    <s v="Paid"/>
    <x v="0"/>
    <s v="OK"/>
    <s v="OK"/>
    <s v="OK"/>
    <s v="OK"/>
    <n v="1"/>
    <s v="Unique"/>
    <n v="0"/>
    <s v="Valid"/>
    <n v="18675.18"/>
    <x v="714"/>
    <n v="0.25169663692665878"/>
    <x v="11"/>
    <x v="1"/>
    <s v="Clean"/>
  </r>
  <r>
    <s v="ORD-2025-10716"/>
    <d v="2025-08-22T00:00:00"/>
    <d v="2025-08-27T00:00:00"/>
    <s v="CUST-7446"/>
    <s v="Priya Menon"/>
    <x v="0"/>
    <x v="0"/>
    <s v="Haryana"/>
    <s v="Gurugram"/>
    <x v="1"/>
    <x v="4"/>
    <s v="Max Chairs 372"/>
    <x v="0"/>
    <n v="7"/>
    <n v="2843.09"/>
    <n v="0"/>
    <n v="19901.63"/>
    <n v="15492.03"/>
    <n v="4409.6000000000004"/>
    <s v="Refunded"/>
    <x v="1"/>
    <s v="OK"/>
    <s v="OK"/>
    <s v="OK"/>
    <s v="OK"/>
    <n v="5"/>
    <s v="Unique"/>
    <n v="0"/>
    <s v="Valid"/>
    <n v="19901.63"/>
    <x v="715"/>
    <n v="0.22156979101711771"/>
    <x v="1"/>
    <x v="1"/>
    <s v="Clean"/>
  </r>
  <r>
    <s v="ORD-2025-10717"/>
    <d v="2025-08-26T00:00:00"/>
    <d v="2025-08-31T00:00:00"/>
    <s v="CUST-7540"/>
    <s v="Diya Patel"/>
    <x v="1"/>
    <x v="0"/>
    <s v="Haryana"/>
    <s v="Gurugram"/>
    <x v="2"/>
    <x v="11"/>
    <s v="Basic Phones 496"/>
    <x v="2"/>
    <n v="1"/>
    <n v="3388.02"/>
    <n v="0.15"/>
    <n v="2879.82"/>
    <n v="1824.88"/>
    <n v="1054.94"/>
    <s v="Paid"/>
    <x v="0"/>
    <s v="OK"/>
    <s v="OK"/>
    <s v="OK"/>
    <s v="OK"/>
    <n v="5"/>
    <s v="Unique"/>
    <n v="0.15"/>
    <s v="Valid"/>
    <n v="2879.817"/>
    <x v="716"/>
    <n v="0.3663208460815392"/>
    <x v="1"/>
    <x v="1"/>
    <s v="Clean"/>
  </r>
  <r>
    <s v="ORD-2025-10718"/>
    <d v="2025-10-12T00:00:00"/>
    <d v="2025-10-15T00:00:00"/>
    <s v="CUST-8351"/>
    <s v="Kabir Singh"/>
    <x v="1"/>
    <x v="0"/>
    <s v="Haryana"/>
    <s v="Gurugram"/>
    <x v="2"/>
    <x v="12"/>
    <s v="Prime Machines 612"/>
    <x v="3"/>
    <n v="9"/>
    <n v="2598.92"/>
    <n v="0.2"/>
    <n v="18712.22"/>
    <n v="11852.22"/>
    <n v="6860"/>
    <s v="Pending"/>
    <x v="1"/>
    <s v="OK"/>
    <s v="OK"/>
    <s v="OK"/>
    <s v="OK"/>
    <n v="3"/>
    <s v="Unique"/>
    <n v="0.2"/>
    <s v="Valid"/>
    <n v="18712.223999999998"/>
    <x v="717"/>
    <n v="0.3666054874075898"/>
    <x v="9"/>
    <x v="1"/>
    <s v="Clean"/>
  </r>
  <r>
    <s v="ORD-2024-10719"/>
    <d v="2024-09-06T00:00:00"/>
    <d v="2024-09-09T00:00:00"/>
    <s v="CUST-3918"/>
    <s v="Mira Das"/>
    <x v="0"/>
    <x v="3"/>
    <s v="Maharashtra"/>
    <s v="Mumbai"/>
    <x v="0"/>
    <x v="2"/>
    <s v="Smart Art 866"/>
    <x v="1"/>
    <n v="3"/>
    <n v="1972.27"/>
    <n v="0.2"/>
    <n v="4733.45"/>
    <n v="3672.32"/>
    <n v="1061.1300000000001"/>
    <s v="Paid"/>
    <x v="0"/>
    <s v="OK"/>
    <s v="OK"/>
    <s v="OK"/>
    <s v="OK"/>
    <n v="3"/>
    <s v="Unique"/>
    <n v="0.2"/>
    <s v="Valid"/>
    <n v="4733.4479999999994"/>
    <x v="718"/>
    <n v="0.22417654107534282"/>
    <x v="7"/>
    <x v="0"/>
    <s v="Clean"/>
  </r>
  <r>
    <s v="ORD-2025-10720"/>
    <d v="2025-09-08T00:00:00"/>
    <d v="2025-09-09T00:00:00"/>
    <s v="CUST-3190"/>
    <s v="Kabir Singh"/>
    <x v="2"/>
    <x v="3"/>
    <s v="Gujarat"/>
    <s v="Ahmedabad"/>
    <x v="0"/>
    <x v="2"/>
    <s v="Pro Art 447"/>
    <x v="1"/>
    <n v="2"/>
    <n v="2372.41"/>
    <n v="0.2"/>
    <n v="3795.86"/>
    <n v="2264.92"/>
    <n v="1530.94"/>
    <s v="Paid"/>
    <x v="0"/>
    <s v="OK"/>
    <s v="OK"/>
    <s v="OK"/>
    <s v="OK"/>
    <n v="1"/>
    <s v="Unique"/>
    <n v="0.2"/>
    <s v="Valid"/>
    <n v="3795.8559999999998"/>
    <x v="719"/>
    <n v="0.40331772332775528"/>
    <x v="7"/>
    <x v="1"/>
    <s v="Clean"/>
  </r>
  <r>
    <s v="ORD-2024-10721"/>
    <d v="2024-07-16T00:00:00"/>
    <d v="2024-07-16T00:00:00"/>
    <s v="CUST-1991"/>
    <s v="Aditi Sen"/>
    <x v="3"/>
    <x v="3"/>
    <s v="Madhya Pradesh"/>
    <s v="Indore"/>
    <x v="2"/>
    <x v="6"/>
    <s v="Smart Copiers 196"/>
    <x v="1"/>
    <n v="4"/>
    <n v="4479.92"/>
    <n v="0.15"/>
    <n v="15231.73"/>
    <n v="12451.46"/>
    <n v="2780.27"/>
    <s v="Paid"/>
    <x v="0"/>
    <s v="OK"/>
    <s v="OK"/>
    <s v="OK"/>
    <s v="OK"/>
    <n v="0"/>
    <s v="Unique"/>
    <n v="0.15"/>
    <s v="Valid"/>
    <n v="15231.727999999999"/>
    <x v="720"/>
    <n v="0.1825313582280356"/>
    <x v="0"/>
    <x v="0"/>
    <s v="Clean"/>
  </r>
  <r>
    <s v="ORD-2025-10722"/>
    <d v="2025-06-19T00:00:00"/>
    <d v="2025-06-23T00:00:00"/>
    <s v="CUST-7606"/>
    <s v="Sneha Kapoor"/>
    <x v="0"/>
    <x v="2"/>
    <s v="Karnataka"/>
    <s v="Bengaluru"/>
    <x v="2"/>
    <x v="6"/>
    <s v="Pro Copiers 532"/>
    <x v="2"/>
    <n v="5"/>
    <n v="2729.95"/>
    <n v="0"/>
    <n v="13649.75"/>
    <n v="10288.030000000001"/>
    <n v="3361.72"/>
    <s v="Paid"/>
    <x v="0"/>
    <s v="OK"/>
    <s v="OK"/>
    <s v="OK"/>
    <s v="OK"/>
    <n v="4"/>
    <s v="Unique"/>
    <n v="0"/>
    <s v="Valid"/>
    <n v="13649.75"/>
    <x v="721"/>
    <n v="0.24628436418249414"/>
    <x v="2"/>
    <x v="1"/>
    <s v="Clean"/>
  </r>
  <r>
    <s v="ORD-2024-10723"/>
    <d v="2024-10-07T00:00:00"/>
    <d v="2024-10-10T00:00:00"/>
    <s v="CUST-8844"/>
    <s v="Vikram Iyer"/>
    <x v="0"/>
    <x v="1"/>
    <s v="West Bengal"/>
    <s v="Kolkata"/>
    <x v="1"/>
    <x v="4"/>
    <s v="Eco Chairs 442"/>
    <x v="0"/>
    <n v="9"/>
    <n v="481.51"/>
    <m/>
    <n v="4333.59"/>
    <n v="2533.59"/>
    <n v="1800"/>
    <s v="Refunded"/>
    <x v="1"/>
    <s v="OK"/>
    <s v="OK"/>
    <s v="OK"/>
    <s v="OK"/>
    <n v="3"/>
    <s v="Unique"/>
    <n v="0"/>
    <s v="Missing - Treated as 0"/>
    <n v="4333.59"/>
    <x v="722"/>
    <n v="0.41536001329152039"/>
    <x v="9"/>
    <x v="0"/>
    <s v="Warning"/>
  </r>
  <r>
    <s v="ORD-2025-10724"/>
    <d v="2025-10-06T00:00:00"/>
    <d v="2025-10-13T00:00:00"/>
    <s v="CUST-4335"/>
    <s v="Kabir Singh"/>
    <x v="3"/>
    <x v="1"/>
    <s v="Jharkhand"/>
    <s v="Ranchi"/>
    <x v="2"/>
    <x v="5"/>
    <s v="Eco Accessories 364"/>
    <x v="3"/>
    <n v="6"/>
    <n v="2391.9299999999998"/>
    <n v="0.05"/>
    <n v="13634"/>
    <n v="9589.81"/>
    <n v="4044.19"/>
    <s v="Failed"/>
    <x v="2"/>
    <s v="OK"/>
    <s v="OK"/>
    <s v="OK"/>
    <s v="OK"/>
    <n v="7"/>
    <s v="Unique"/>
    <n v="0.05"/>
    <s v="Valid"/>
    <n v="13634.000999999998"/>
    <x v="723"/>
    <n v="0.29662539998346776"/>
    <x v="9"/>
    <x v="1"/>
    <s v="Clean"/>
  </r>
  <r>
    <s v="ORD-2024-10725"/>
    <d v="2024-02-10T00:00:00"/>
    <d v="2024-02-16T00:00:00"/>
    <s v="CUST-5891"/>
    <s v="Karan Malhotra"/>
    <x v="0"/>
    <x v="3"/>
    <s v="Goa"/>
    <s v="Panaji"/>
    <x v="1"/>
    <x v="3"/>
    <s v="Elite Furnishings 921"/>
    <x v="0"/>
    <n v="3"/>
    <n v="253.43"/>
    <n v="0"/>
    <n v="760.29"/>
    <n v="497.77"/>
    <n v="262.52"/>
    <s v="Paid"/>
    <x v="0"/>
    <s v="OK"/>
    <s v="OK"/>
    <s v="OK"/>
    <s v="OK"/>
    <n v="6"/>
    <s v="Unique"/>
    <n v="0"/>
    <s v="Valid"/>
    <n v="760.29"/>
    <x v="724"/>
    <n v="0.34528929750489945"/>
    <x v="6"/>
    <x v="0"/>
    <s v="Clean"/>
  </r>
  <r>
    <s v="ORD-2025-10726"/>
    <d v="2025-10-05T00:00:00"/>
    <d v="2025-10-12T00:00:00"/>
    <s v="CUST-6371"/>
    <s v="Priya Menon"/>
    <x v="2"/>
    <x v="2"/>
    <s v="Karnataka"/>
    <s v="Bengaluru"/>
    <x v="1"/>
    <x v="1"/>
    <s v="Max Tables 309"/>
    <x v="0"/>
    <n v="7"/>
    <n v="2134.73"/>
    <n v="0"/>
    <n v="14943.11"/>
    <n v="8521.5"/>
    <n v="6421.61"/>
    <s v="Paid"/>
    <x v="0"/>
    <s v="OK"/>
    <s v="OK"/>
    <s v="OK"/>
    <s v="OK"/>
    <n v="7"/>
    <s v="Unique"/>
    <n v="0"/>
    <s v="Valid"/>
    <n v="14943.11"/>
    <x v="725"/>
    <n v="0.42973718322357263"/>
    <x v="9"/>
    <x v="1"/>
    <s v="Clean"/>
  </r>
  <r>
    <s v="ORD-2024-10727"/>
    <d v="2024-01-17T00:00:00"/>
    <d v="2024-01-23T00:00:00"/>
    <s v="CUST-6655"/>
    <s v="Kabir Singh"/>
    <x v="3"/>
    <x v="3"/>
    <s v="Gujarat"/>
    <s v="Ahmedabad"/>
    <x v="2"/>
    <x v="11"/>
    <s v="Pro Phones 857"/>
    <x v="3"/>
    <n v="5"/>
    <n v="2018"/>
    <n v="0.2"/>
    <n v="8072"/>
    <n v="5379.22"/>
    <n v="2692.78"/>
    <s v="Pending"/>
    <x v="2"/>
    <s v="OK"/>
    <s v="OK"/>
    <s v="OK"/>
    <s v="OK"/>
    <n v="6"/>
    <s v="Unique"/>
    <n v="0.2"/>
    <s v="Valid"/>
    <n v="8072"/>
    <x v="726"/>
    <n v="0.33359514370664023"/>
    <x v="10"/>
    <x v="0"/>
    <s v="Clean"/>
  </r>
  <r>
    <s v="ORD-2024-10728"/>
    <d v="2024-10-13T00:00:00"/>
    <d v="2024-10-13T00:00:00"/>
    <s v="CUST-6492"/>
    <s v="Aarav Sharma"/>
    <x v="1"/>
    <x v="1"/>
    <s v="Assam"/>
    <s v="Guwahati"/>
    <x v="2"/>
    <x v="5"/>
    <s v="Max Accessories 567"/>
    <x v="0"/>
    <n v="8"/>
    <n v="3730.66"/>
    <n v="0.05"/>
    <n v="28353.02"/>
    <n v="19257.849999999999"/>
    <n v="9095.17"/>
    <s v="Paid"/>
    <x v="0"/>
    <s v="OK"/>
    <s v="OK"/>
    <s v="OK"/>
    <s v="OK"/>
    <n v="0"/>
    <s v="Unique"/>
    <n v="0.05"/>
    <s v="Valid"/>
    <n v="28353.015999999996"/>
    <x v="727"/>
    <n v="0.3207830165228277"/>
    <x v="9"/>
    <x v="0"/>
    <s v="Clean"/>
  </r>
  <r>
    <s v="ORD-2024-10729"/>
    <d v="2024-01-04T00:00:00"/>
    <d v="2024-01-07T00:00:00"/>
    <s v="CUST-1154"/>
    <s v="Sneha Kapoor"/>
    <x v="1"/>
    <x v="2"/>
    <s v="Karnataka"/>
    <s v="Bengaluru"/>
    <x v="2"/>
    <x v="12"/>
    <s v="Max Machines 200"/>
    <x v="2"/>
    <n v="1"/>
    <n v="2363.02"/>
    <n v="0.15"/>
    <n v="2008.57"/>
    <n v="1194.83"/>
    <n v="813.74"/>
    <s v="Paid"/>
    <x v="0"/>
    <s v="OK"/>
    <s v="OK"/>
    <s v="OK"/>
    <s v="OK"/>
    <n v="3"/>
    <s v="Unique"/>
    <n v="0.15"/>
    <s v="Valid"/>
    <n v="2008.567"/>
    <x v="728"/>
    <n v="0.40513311231340554"/>
    <x v="10"/>
    <x v="0"/>
    <s v="Clean"/>
  </r>
  <r>
    <s v="ORD-2025-10730"/>
    <d v="2025-05-17T00:00:00"/>
    <d v="2025-05-25T00:00:00"/>
    <s v="CUST-8713"/>
    <s v="Ananya Rao"/>
    <x v="2"/>
    <x v="2"/>
    <s v="Tamil Nadu"/>
    <s v="Chennai"/>
    <x v="2"/>
    <x v="12"/>
    <s v="Pro Machines 563"/>
    <x v="1"/>
    <n v="6"/>
    <n v="1810.63"/>
    <n v="0.15"/>
    <n v="9234.2099999999991"/>
    <n v="5516.52"/>
    <n v="3717.69"/>
    <s v="Paid"/>
    <x v="0"/>
    <s v="OK"/>
    <s v="OK"/>
    <s v="OK"/>
    <s v="OK"/>
    <n v="8"/>
    <s v="Unique"/>
    <n v="0.15"/>
    <s v="Valid"/>
    <n v="9234.2129999999997"/>
    <x v="729"/>
    <n v="0.40259987505161504"/>
    <x v="4"/>
    <x v="1"/>
    <s v="Clean"/>
  </r>
  <r>
    <s v="ORD-2025-10731"/>
    <d v="2025-06-19T00:00:00"/>
    <d v="2025-06-24T00:00:00"/>
    <s v="CUST-6765"/>
    <s v="Arjun Bose"/>
    <x v="0"/>
    <x v="1"/>
    <s v="West Bengal"/>
    <s v="Kolkata"/>
    <x v="0"/>
    <x v="2"/>
    <s v="Elite Art 696"/>
    <x v="0"/>
    <n v="4"/>
    <n v="782.01"/>
    <n v="0.15"/>
    <n v="2658.83"/>
    <n v="2226.9699999999998"/>
    <n v="431.86"/>
    <s v="Refunded"/>
    <x v="2"/>
    <s v="OK"/>
    <s v="OK"/>
    <s v="OK"/>
    <s v="OK"/>
    <n v="5"/>
    <s v="Unique"/>
    <n v="0.15"/>
    <s v="Valid"/>
    <n v="2658.8339999999998"/>
    <x v="730"/>
    <n v="0.16242608602116568"/>
    <x v="2"/>
    <x v="1"/>
    <s v="Clean"/>
  </r>
  <r>
    <s v="ORD-2024-10732"/>
    <d v="2024-03-17T00:00:00"/>
    <d v="2024-03-19T00:00:00"/>
    <s v="CUST-6849"/>
    <s v="Ananya Rao"/>
    <x v="2"/>
    <x v="1"/>
    <s v="Odisha"/>
    <s v="Bhubaneswar"/>
    <x v="0"/>
    <x v="9"/>
    <s v="Eco Binders 178"/>
    <x v="2"/>
    <n v="4"/>
    <n v="4376.68"/>
    <n v="0.1"/>
    <n v="15756.05"/>
    <n v="10245.44"/>
    <n v="5510.61"/>
    <s v="Paid"/>
    <x v="0"/>
    <s v="OK"/>
    <s v="OK"/>
    <s v="OK"/>
    <s v="OK"/>
    <n v="2"/>
    <s v="Unique"/>
    <n v="0.1"/>
    <s v="Valid"/>
    <n v="15756.048000000001"/>
    <x v="731"/>
    <n v="0.3497455707167178"/>
    <x v="11"/>
    <x v="0"/>
    <s v="Clean"/>
  </r>
  <r>
    <s v="ORD-2024-10733"/>
    <d v="2024-11-28T00:00:00"/>
    <d v="2024-12-06T00:00:00"/>
    <s v="CUST-4973"/>
    <s v="Arjun Bose"/>
    <x v="1"/>
    <x v="0"/>
    <s v="Punjab"/>
    <s v="Ludhiana"/>
    <x v="2"/>
    <x v="11"/>
    <s v="Max Phones 678"/>
    <x v="3"/>
    <n v="6"/>
    <n v="2464.63"/>
    <n v="0"/>
    <n v="14787.78"/>
    <n v="8596.65"/>
    <n v="6191.13"/>
    <s v="Paid"/>
    <x v="0"/>
    <s v="OK"/>
    <s v="OK"/>
    <s v="OK"/>
    <s v="OK"/>
    <n v="8"/>
    <s v="Unique"/>
    <n v="0"/>
    <s v="Valid"/>
    <n v="14787.78"/>
    <x v="732"/>
    <n v="0.41866527632950995"/>
    <x v="3"/>
    <x v="0"/>
    <s v="Clean"/>
  </r>
  <r>
    <s v="ORD-2024-10734"/>
    <d v="2024-06-21T00:00:00"/>
    <d v="2024-06-28T00:00:00"/>
    <s v="CUST-2394"/>
    <s v="Aarav Sharma"/>
    <x v="3"/>
    <x v="0"/>
    <s v="Rajasthan"/>
    <s v="Jaipur"/>
    <x v="1"/>
    <x v="3"/>
    <s v="Classic Furnishings 582"/>
    <x v="2"/>
    <n v="9"/>
    <n v="2797.96"/>
    <n v="0"/>
    <n v="25181.64"/>
    <n v="15337.9"/>
    <n v="9843.74"/>
    <s v="Paid"/>
    <x v="0"/>
    <s v="OK"/>
    <s v="OK"/>
    <s v="OK"/>
    <s v="OK"/>
    <n v="7"/>
    <s v="Unique"/>
    <n v="0"/>
    <s v="Valid"/>
    <n v="25181.64"/>
    <x v="733"/>
    <n v="0.39090940860086953"/>
    <x v="2"/>
    <x v="0"/>
    <s v="Clean"/>
  </r>
  <r>
    <s v="ORD-2024-10735"/>
    <d v="2024-08-24T00:00:00"/>
    <d v="2024-08-24T00:00:00"/>
    <s v="CUST-5406"/>
    <s v="Ananya Rao"/>
    <x v="1"/>
    <x v="0"/>
    <s v="Rajasthan"/>
    <s v="Jaipur"/>
    <x v="2"/>
    <x v="5"/>
    <s v="Classic Accessories 981"/>
    <x v="2"/>
    <n v="4"/>
    <n v="2761.86"/>
    <n v="0.2"/>
    <n v="8837.9500000000007"/>
    <n v="6157.27"/>
    <n v="2680.68"/>
    <s v="Paid"/>
    <x v="0"/>
    <s v="OK"/>
    <s v="OK"/>
    <s v="OK"/>
    <s v="OK"/>
    <n v="0"/>
    <s v="Unique"/>
    <n v="0.2"/>
    <s v="Valid"/>
    <n v="8837.9520000000011"/>
    <x v="734"/>
    <n v="0.30331484036120587"/>
    <x v="1"/>
    <x v="0"/>
    <s v="Clean"/>
  </r>
  <r>
    <s v="ORD-2024-10736"/>
    <d v="2024-08-11T00:00:00"/>
    <d v="2024-08-19T00:00:00"/>
    <s v="CUST-1963"/>
    <s v="Mira Das"/>
    <x v="0"/>
    <x v="3"/>
    <s v="Maharashtra"/>
    <s v="Mumbai"/>
    <x v="1"/>
    <x v="1"/>
    <s v="Classic Tables 534"/>
    <x v="3"/>
    <n v="6"/>
    <n v="1515.79"/>
    <n v="0.2"/>
    <n v="7275.79"/>
    <n v="6152.87"/>
    <n v="1122.92"/>
    <s v="Paid"/>
    <x v="0"/>
    <s v="OK"/>
    <s v="OK"/>
    <s v="OK"/>
    <s v="OK"/>
    <n v="8"/>
    <s v="Unique"/>
    <n v="0.2"/>
    <s v="Valid"/>
    <n v="7275.7920000000004"/>
    <x v="735"/>
    <n v="0.15433673749881804"/>
    <x v="1"/>
    <x v="0"/>
    <s v="Clean"/>
  </r>
  <r>
    <s v="ORD-2024-10737"/>
    <d v="2024-12-06T00:00:00"/>
    <d v="2024-12-09T00:00:00"/>
    <s v="CUST-9017"/>
    <s v="Aditi Sen"/>
    <x v="0"/>
    <x v="3"/>
    <s v="Maharashtra"/>
    <s v="Mumbai"/>
    <x v="1"/>
    <x v="4"/>
    <s v="Pro Chairs 383"/>
    <x v="0"/>
    <n v="9"/>
    <n v="290.75"/>
    <n v="0.1"/>
    <n v="2355.08"/>
    <n v="1350.03"/>
    <n v="1005.05"/>
    <s v="Paid"/>
    <x v="0"/>
    <s v="OK"/>
    <s v="OK"/>
    <s v="OK"/>
    <s v="OK"/>
    <n v="3"/>
    <s v="Unique"/>
    <n v="0.1"/>
    <s v="Valid"/>
    <n v="2355.0750000000003"/>
    <x v="736"/>
    <n v="0.42675710964618968"/>
    <x v="8"/>
    <x v="0"/>
    <s v="Clean"/>
  </r>
  <r>
    <s v="ORD-2024-10738"/>
    <d v="2024-02-10T00:00:00"/>
    <d v="2024-02-10T00:00:00"/>
    <s v="CUST-7967"/>
    <s v="Isha Nair"/>
    <x v="3"/>
    <x v="3"/>
    <s v="Maharashtra"/>
    <s v="Mumbai"/>
    <x v="1"/>
    <x v="4"/>
    <s v="Max Chairs 845"/>
    <x v="1"/>
    <n v="6"/>
    <n v="601.52"/>
    <n v="0"/>
    <n v="3609.12"/>
    <n v="2645.5"/>
    <n v="963.62"/>
    <s v="Paid"/>
    <x v="0"/>
    <s v="OK"/>
    <s v="OK"/>
    <s v="OK"/>
    <s v="OK"/>
    <n v="0"/>
    <s v="Unique"/>
    <n v="0"/>
    <s v="Valid"/>
    <n v="3609.12"/>
    <x v="737"/>
    <n v="0.2669958327791816"/>
    <x v="6"/>
    <x v="0"/>
    <s v="Clean"/>
  </r>
  <r>
    <s v="ORD-2025-10739"/>
    <d v="2025-02-20T00:00:00"/>
    <d v="2025-02-22T00:00:00"/>
    <s v="CUST-5334"/>
    <s v="Priya Menon"/>
    <x v="2"/>
    <x v="2"/>
    <s v="Kerala"/>
    <s v="Kochi"/>
    <x v="0"/>
    <x v="0"/>
    <s v="Prime Paper 307"/>
    <x v="2"/>
    <n v="1"/>
    <n v="2188.19"/>
    <n v="0"/>
    <n v="2188.19"/>
    <n v="1298.8399999999999"/>
    <n v="889.35"/>
    <s v="Paid"/>
    <x v="0"/>
    <s v="OK"/>
    <s v="OK"/>
    <s v="OK"/>
    <s v="OK"/>
    <n v="2"/>
    <s v="Unique"/>
    <n v="0"/>
    <s v="Valid"/>
    <n v="2188.19"/>
    <x v="738"/>
    <n v="0.40643179979800664"/>
    <x v="6"/>
    <x v="1"/>
    <s v="Clean"/>
  </r>
  <r>
    <s v="ORD-2024-10740"/>
    <d v="2024-12-03T00:00:00"/>
    <d v="2024-12-10T00:00:00"/>
    <s v="CUST-5846"/>
    <s v="Neha Gupta"/>
    <x v="2"/>
    <x v="0"/>
    <s v="Rajasthan"/>
    <s v="Jaipur"/>
    <x v="2"/>
    <x v="11"/>
    <s v="Basic Phones 859"/>
    <x v="3"/>
    <n v="5"/>
    <n v="2393.86"/>
    <n v="0.05"/>
    <n v="11370.84"/>
    <n v="7469.58"/>
    <n v="3901.26"/>
    <s v="Paid"/>
    <x v="0"/>
    <s v="OK"/>
    <s v="OK"/>
    <s v="OK"/>
    <s v="OK"/>
    <n v="7"/>
    <s v="Unique"/>
    <n v="0.05"/>
    <s v="Valid"/>
    <n v="11370.835000000001"/>
    <x v="739"/>
    <n v="0.34309309738466881"/>
    <x v="8"/>
    <x v="0"/>
    <s v="Clean"/>
  </r>
  <r>
    <s v="ORD-2024-10741"/>
    <d v="2024-04-02T00:00:00"/>
    <d v="2024-04-02T00:00:00"/>
    <s v="CUST-7932"/>
    <s v="Sneha Kapoor"/>
    <x v="1"/>
    <x v="3"/>
    <s v="Maharashtra"/>
    <s v="Mumbai"/>
    <x v="1"/>
    <x v="4"/>
    <s v="Eco Chairs 883"/>
    <x v="2"/>
    <n v="4"/>
    <n v="2583"/>
    <n v="0.1"/>
    <n v="9298.7999999999993"/>
    <n v="6548.5"/>
    <n v="2750.3"/>
    <s v="Paid"/>
    <x v="0"/>
    <s v="OK"/>
    <s v="OK"/>
    <s v="OK"/>
    <s v="OK"/>
    <n v="0"/>
    <s v="Unique"/>
    <n v="0.1"/>
    <s v="Valid"/>
    <n v="9298.8000000000011"/>
    <x v="740"/>
    <n v="0.29576934658235482"/>
    <x v="5"/>
    <x v="0"/>
    <s v="Clean"/>
  </r>
  <r>
    <s v="ORD-2025-10742"/>
    <d v="2025-04-23T00:00:00"/>
    <d v="2025-04-25T00:00:00"/>
    <s v="CUST-3285"/>
    <s v="Isha Nair"/>
    <x v="3"/>
    <x v="2"/>
    <s v="Tamil Nadu"/>
    <s v="Chennai"/>
    <x v="1"/>
    <x v="4"/>
    <s v="Max Chairs 706"/>
    <x v="0"/>
    <n v="3"/>
    <n v="2951.12"/>
    <m/>
    <n v="7082.69"/>
    <n v="5596.34"/>
    <n v="1486.35"/>
    <s v="Paid"/>
    <x v="1"/>
    <s v="OK"/>
    <s v="OK"/>
    <s v="OK"/>
    <s v="OK"/>
    <n v="2"/>
    <s v="Unique"/>
    <n v="0"/>
    <s v="Missing - Treated as 0"/>
    <n v="8853.36"/>
    <x v="741"/>
    <n v="0.36788518709280998"/>
    <x v="5"/>
    <x v="1"/>
    <s v="Warning"/>
  </r>
  <r>
    <s v="ORD-2024-10743"/>
    <d v="2024-10-15T00:00:00"/>
    <d v="2024-10-22T00:00:00"/>
    <s v="CUST-6368"/>
    <s v="Karan Malhotra"/>
    <x v="2"/>
    <x v="1"/>
    <s v="Odisha"/>
    <s v="Bhubaneswar"/>
    <x v="0"/>
    <x v="0"/>
    <s v="Prime Paper 768"/>
    <x v="3"/>
    <n v="4"/>
    <n v="2260.9499999999998"/>
    <n v="0"/>
    <n v="9043.7999999999993"/>
    <n v="5913.38"/>
    <n v="3130.42"/>
    <s v="Paid"/>
    <x v="0"/>
    <s v="OK"/>
    <s v="OK"/>
    <s v="OK"/>
    <s v="OK"/>
    <n v="7"/>
    <s v="Unique"/>
    <n v="0"/>
    <s v="Valid"/>
    <n v="9043.7999999999993"/>
    <x v="742"/>
    <n v="0.34613989694597397"/>
    <x v="9"/>
    <x v="0"/>
    <s v="Clean"/>
  </r>
  <r>
    <s v="ORD-2025-10744"/>
    <d v="2025-02-12T00:00:00"/>
    <d v="2025-02-14T00:00:00"/>
    <s v="CUST-6231"/>
    <s v="Sneha Kapoor"/>
    <x v="0"/>
    <x v="0"/>
    <s v="Uttar Pradesh"/>
    <s v="Noida"/>
    <x v="0"/>
    <x v="2"/>
    <s v="Basic Art 764"/>
    <x v="3"/>
    <n v="6"/>
    <n v="491.4"/>
    <n v="0.25"/>
    <n v="2211.3000000000002"/>
    <n v="1735.64"/>
    <n v="475.66"/>
    <s v="Paid"/>
    <x v="0"/>
    <s v="OK"/>
    <s v="OK"/>
    <s v="OK"/>
    <s v="OK"/>
    <n v="2"/>
    <s v="Unique"/>
    <n v="0.25"/>
    <s v="Valid"/>
    <n v="2211.2999999999997"/>
    <x v="743"/>
    <n v="0.21510423732645942"/>
    <x v="6"/>
    <x v="1"/>
    <s v="Clean"/>
  </r>
  <r>
    <s v="ORD-2025-10745"/>
    <d v="2025-08-17T00:00:00"/>
    <d v="2025-08-20T00:00:00"/>
    <s v="CUST-2021"/>
    <s v="Mira Das"/>
    <x v="3"/>
    <x v="0"/>
    <s v="Punjab"/>
    <s v="Ludhiana"/>
    <x v="0"/>
    <x v="9"/>
    <s v="Prime Binders 181"/>
    <x v="2"/>
    <n v="5"/>
    <n v="2701.89"/>
    <n v="0.1"/>
    <n v="12158.5"/>
    <n v="10260.07"/>
    <n v="1898.43"/>
    <s v="Paid"/>
    <x v="1"/>
    <s v="OK"/>
    <s v="OK"/>
    <s v="OK"/>
    <s v="OK"/>
    <n v="3"/>
    <s v="Unique"/>
    <n v="0.1"/>
    <s v="Valid"/>
    <n v="12158.504999999999"/>
    <x v="744"/>
    <n v="0.15614049589155901"/>
    <x v="1"/>
    <x v="1"/>
    <s v="Clean"/>
  </r>
  <r>
    <s v="ORD-2024-10746"/>
    <d v="2024-10-24T00:00:00"/>
    <d v="2024-10-28T00:00:00"/>
    <s v="CUST-1493"/>
    <s v="Mira Das"/>
    <x v="1"/>
    <x v="1"/>
    <s v="Assam"/>
    <s v="Guwahati"/>
    <x v="2"/>
    <x v="6"/>
    <s v="Max Copiers 866"/>
    <x v="3"/>
    <n v="3"/>
    <n v="723.59"/>
    <n v="0.2"/>
    <n v="1736.62"/>
    <n v="1059.52"/>
    <n v="677.1"/>
    <s v="Paid"/>
    <x v="0"/>
    <s v="OK"/>
    <s v="OK"/>
    <s v="OK"/>
    <s v="OK"/>
    <n v="4"/>
    <s v="Unique"/>
    <n v="0.2"/>
    <s v="Valid"/>
    <n v="1736.616"/>
    <x v="745"/>
    <n v="0.38989390861307277"/>
    <x v="9"/>
    <x v="0"/>
    <s v="Clean"/>
  </r>
  <r>
    <s v="ORD-2025-10747"/>
    <d v="2025-01-04T00:00:00"/>
    <d v="2025-01-10T00:00:00"/>
    <s v="CUST-2314"/>
    <s v="Aarav Sharma"/>
    <x v="3"/>
    <x v="1"/>
    <s v="West Bengal"/>
    <s v="Kolkata"/>
    <x v="0"/>
    <x v="0"/>
    <s v="Pro Paper 662"/>
    <x v="3"/>
    <n v="4"/>
    <n v="2583.19"/>
    <n v="0.2"/>
    <n v="8266.2099999999991"/>
    <n v="6236.32"/>
    <n v="2029.89"/>
    <s v="Paid"/>
    <x v="0"/>
    <s v="OK"/>
    <s v="OK"/>
    <s v="OK"/>
    <s v="OK"/>
    <n v="6"/>
    <s v="Unique"/>
    <n v="0.2"/>
    <s v="Valid"/>
    <n v="8266.2080000000005"/>
    <x v="746"/>
    <n v="0.24556459261610653"/>
    <x v="10"/>
    <x v="1"/>
    <s v="Clean"/>
  </r>
  <r>
    <s v="ORD-2024-10748"/>
    <d v="2024-05-01T00:00:00"/>
    <d v="2024-05-07T00:00:00"/>
    <s v="CUST-8416"/>
    <s v="Isha Nair"/>
    <x v="3"/>
    <x v="1"/>
    <s v="Odisha"/>
    <s v="Bhubaneswar"/>
    <x v="0"/>
    <x v="0"/>
    <s v="Classic Paper 388"/>
    <x v="1"/>
    <n v="8"/>
    <n v="1473.83"/>
    <n v="0.15"/>
    <n v="10022.040000000001"/>
    <n v="5576.98"/>
    <n v="4445.0600000000004"/>
    <s v="Paid"/>
    <x v="0"/>
    <s v="OK"/>
    <s v="OK"/>
    <s v="OK"/>
    <s v="OK"/>
    <n v="6"/>
    <s v="Unique"/>
    <n v="0.15"/>
    <s v="Valid"/>
    <n v="10022.044"/>
    <x v="747"/>
    <n v="0.44352868536597928"/>
    <x v="4"/>
    <x v="0"/>
    <s v="Clean"/>
  </r>
  <r>
    <s v="ORD-2024-10749"/>
    <d v="2024-05-30T00:00:00"/>
    <d v="2024-05-30T00:00:00"/>
    <s v="CUST-3103"/>
    <s v="Diya Patel"/>
    <x v="3"/>
    <x v="0"/>
    <s v="Haryana"/>
    <s v="Gurugram"/>
    <x v="2"/>
    <x v="11"/>
    <s v="Pro Phones 765"/>
    <x v="0"/>
    <n v="1"/>
    <n v="3848.04"/>
    <n v="0.25"/>
    <n v="2886.03"/>
    <n v="2064.83"/>
    <n v="821.2"/>
    <s v="Paid"/>
    <x v="0"/>
    <s v="OK"/>
    <s v="OK"/>
    <s v="OK"/>
    <s v="OK"/>
    <n v="0"/>
    <s v="Unique"/>
    <n v="0.25"/>
    <s v="Valid"/>
    <n v="2886.0299999999997"/>
    <x v="748"/>
    <n v="0.28454312671732446"/>
    <x v="4"/>
    <x v="0"/>
    <s v="Clean"/>
  </r>
  <r>
    <s v="ORD-2024-10750"/>
    <d v="2024-03-21T00:00:00"/>
    <d v="2024-03-25T00:00:00"/>
    <s v="CUST-4457"/>
    <s v="Aditi Sen"/>
    <x v="3"/>
    <x v="1"/>
    <s v="Assam"/>
    <s v="Guwahati"/>
    <x v="2"/>
    <x v="12"/>
    <s v="Classic Machines 543"/>
    <x v="3"/>
    <n v="1"/>
    <n v="1716.7"/>
    <n v="0.15"/>
    <n v="1459.19"/>
    <n v="1055.79"/>
    <n v="403.4"/>
    <s v="Paid"/>
    <x v="0"/>
    <s v="OK"/>
    <s v="OK"/>
    <s v="OK"/>
    <s v="OK"/>
    <n v="4"/>
    <s v="Unique"/>
    <n v="0.15"/>
    <s v="Valid"/>
    <n v="1459.1949999999999"/>
    <x v="749"/>
    <n v="0.27645722470266137"/>
    <x v="11"/>
    <x v="0"/>
    <s v="Clean"/>
  </r>
  <r>
    <s v="ORD-2025-10751"/>
    <d v="2025-06-02T00:00:00"/>
    <d v="2025-06-02T00:00:00"/>
    <s v="CUST-7036"/>
    <s v="Aarav Sharma"/>
    <x v="3"/>
    <x v="2"/>
    <s v="Telangana"/>
    <s v="Hyderabad"/>
    <x v="2"/>
    <x v="5"/>
    <s v="Max Accessories 291"/>
    <x v="2"/>
    <n v="8"/>
    <n v="3925.93"/>
    <n v="0.15"/>
    <n v="26696.32"/>
    <n v="22724.52"/>
    <n v="3971.8"/>
    <s v="Paid"/>
    <x v="0"/>
    <s v="OK"/>
    <s v="OK"/>
    <s v="OK"/>
    <s v="OK"/>
    <n v="0"/>
    <s v="Unique"/>
    <n v="0.15"/>
    <s v="Valid"/>
    <n v="26696.323999999997"/>
    <x v="750"/>
    <n v="0.14877718745097629"/>
    <x v="2"/>
    <x v="1"/>
    <s v="Clean"/>
  </r>
  <r>
    <s v="ORD-2025-10752"/>
    <d v="2025-07-18T00:00:00"/>
    <d v="2025-07-19T00:00:00"/>
    <s v="CUST-8512"/>
    <s v="Priya Menon"/>
    <x v="3"/>
    <x v="4"/>
    <s v="Uttar Pradesh"/>
    <s v="Noida"/>
    <x v="2"/>
    <x v="12"/>
    <s v="Eco Machines 414"/>
    <x v="4"/>
    <n v="3"/>
    <n v="2963.25"/>
    <n v="0.05"/>
    <n v="8445.26"/>
    <n v="6937.6"/>
    <n v="1507.66"/>
    <s v="Paid"/>
    <x v="0"/>
    <s v="OK"/>
    <s v="OK"/>
    <s v="OK"/>
    <s v="OK"/>
    <n v="1"/>
    <s v="Unique"/>
    <n v="0.05"/>
    <s v="Valid"/>
    <n v="8445.2624999999989"/>
    <x v="751"/>
    <n v="0.17852168597482893"/>
    <x v="0"/>
    <x v="1"/>
    <s v="Warning"/>
  </r>
  <r>
    <s v="ORD-2024-10753"/>
    <d v="2024-03-24T00:00:00"/>
    <d v="2024-03-27T00:00:00"/>
    <s v="CUST-6345"/>
    <s v="Aditi Sen"/>
    <x v="2"/>
    <x v="3"/>
    <s v="Gujarat"/>
    <s v="Ahmedabad"/>
    <x v="0"/>
    <x v="8"/>
    <s v="Basic Storage 273"/>
    <x v="2"/>
    <n v="5"/>
    <n v="2465.2199999999998"/>
    <n v="0.05"/>
    <n v="11709.79"/>
    <n v="8372.2900000000009"/>
    <n v="3337.5"/>
    <s v="Paid"/>
    <x v="0"/>
    <s v="OK"/>
    <s v="OK"/>
    <s v="OK"/>
    <s v="OK"/>
    <n v="3"/>
    <s v="Unique"/>
    <n v="0.05"/>
    <s v="Valid"/>
    <n v="11709.794999999998"/>
    <x v="752"/>
    <n v="0.28501822619439521"/>
    <x v="11"/>
    <x v="0"/>
    <s v="Clean"/>
  </r>
  <r>
    <s v="ORD-2024-10754"/>
    <d v="2024-08-11T00:00:00"/>
    <d v="2024-08-10T00:00:00"/>
    <s v="CUST-4505"/>
    <s v="Aditi Sen"/>
    <x v="2"/>
    <x v="0"/>
    <s v="Delhi"/>
    <s v="New Delhi"/>
    <x v="1"/>
    <x v="3"/>
    <s v="Elite Furnishings 588"/>
    <x v="0"/>
    <n v="3"/>
    <n v="1017.22"/>
    <n v="0.15"/>
    <n v="2593.91"/>
    <n v="1848.48"/>
    <n v="745.43"/>
    <s v="Failed"/>
    <x v="2"/>
    <s v="OK"/>
    <s v="OK"/>
    <s v="OK"/>
    <s v="Invalid: Ship Before Order"/>
    <n v="-1"/>
    <s v="Unique"/>
    <n v="0.15"/>
    <s v="Valid"/>
    <n v="2593.9109999999996"/>
    <x v="753"/>
    <n v="0.28737724617382776"/>
    <x v="1"/>
    <x v="0"/>
    <s v="Invalid"/>
  </r>
  <r>
    <s v="ORD-2025-10755"/>
    <d v="2025-06-04T00:00:00"/>
    <d v="2025-06-04T00:00:00"/>
    <s v="CUST-7960"/>
    <s v="Neha Gupta"/>
    <x v="2"/>
    <x v="2"/>
    <s v="Kerala"/>
    <s v="Kochi"/>
    <x v="0"/>
    <x v="8"/>
    <s v="Elite Storage 857"/>
    <x v="3"/>
    <n v="4"/>
    <n v="891.34"/>
    <n v="0.25"/>
    <n v="2674.02"/>
    <n v="2207.5700000000002"/>
    <n v="466.45"/>
    <s v="Paid"/>
    <x v="0"/>
    <s v="OK"/>
    <s v="OK"/>
    <s v="OK"/>
    <s v="OK"/>
    <n v="0"/>
    <s v="Unique"/>
    <n v="0.25"/>
    <s v="Valid"/>
    <n v="2674.02"/>
    <x v="754"/>
    <n v="0.17443773793763689"/>
    <x v="2"/>
    <x v="1"/>
    <s v="Clean"/>
  </r>
  <r>
    <s v="ORD-2025-10756"/>
    <d v="2025-07-20T00:00:00"/>
    <d v="2025-07-24T00:00:00"/>
    <s v="CUST-3365"/>
    <s v="Priya Menon"/>
    <x v="3"/>
    <x v="3"/>
    <s v="Madhya Pradesh"/>
    <s v="Indore"/>
    <x v="0"/>
    <x v="8"/>
    <s v="Prime Storage 183"/>
    <x v="0"/>
    <n v="5"/>
    <n v="2481.7399999999998"/>
    <n v="0.2"/>
    <n v="9926.9599999999991"/>
    <n v="7994.98"/>
    <n v="1931.98"/>
    <s v="Paid"/>
    <x v="0"/>
    <s v="OK"/>
    <s v="OK"/>
    <s v="OK"/>
    <s v="OK"/>
    <n v="4"/>
    <s v="Unique"/>
    <n v="0.2"/>
    <s v="Valid"/>
    <n v="9926.9599999999991"/>
    <x v="755"/>
    <n v="0.19461950083409219"/>
    <x v="0"/>
    <x v="1"/>
    <s v="Clean"/>
  </r>
  <r>
    <s v="ORD-2024-10757"/>
    <d v="2024-10-27T00:00:00"/>
    <d v="2024-11-01T00:00:00"/>
    <s v="CUST-1557"/>
    <s v="Rohan Mehta"/>
    <x v="0"/>
    <x v="0"/>
    <s v="Rajasthan"/>
    <s v="Jaipur"/>
    <x v="2"/>
    <x v="5"/>
    <s v="Smart Accessories 362"/>
    <x v="1"/>
    <n v="7"/>
    <n v="2177.1"/>
    <n v="0.2"/>
    <n v="12191.76"/>
    <n v="10457.49"/>
    <n v="1734.27"/>
    <s v="Paid"/>
    <x v="2"/>
    <s v="OK"/>
    <s v="OK"/>
    <s v="OK"/>
    <s v="OK"/>
    <n v="5"/>
    <s v="Unique"/>
    <n v="0.2"/>
    <s v="Valid"/>
    <n v="12191.76"/>
    <x v="756"/>
    <n v="0.14224935530226976"/>
    <x v="9"/>
    <x v="0"/>
    <s v="Clean"/>
  </r>
  <r>
    <s v="ORD-2025-10758"/>
    <d v="2025-08-01T00:00:00"/>
    <d v="2025-08-03T00:00:00"/>
    <s v="CUST-3058"/>
    <s v="Aditi Sen"/>
    <x v="1"/>
    <x v="2"/>
    <s v="Kerala"/>
    <s v="Kochi"/>
    <x v="1"/>
    <x v="10"/>
    <s v="Classic Bookcases 310"/>
    <x v="3"/>
    <n v="3"/>
    <n v="1904.78"/>
    <n v="0.25"/>
    <n v="4285.76"/>
    <n v="2386.33"/>
    <n v="1899.43"/>
    <s v="Failed"/>
    <x v="1"/>
    <s v="OK"/>
    <s v="OK"/>
    <s v="OK"/>
    <s v="OK"/>
    <n v="2"/>
    <s v="Unique"/>
    <n v="0.25"/>
    <s v="Valid"/>
    <n v="4285.7550000000001"/>
    <x v="757"/>
    <n v="0.44319495631458172"/>
    <x v="1"/>
    <x v="1"/>
    <s v="Clean"/>
  </r>
  <r>
    <s v="ORD-2024-10759"/>
    <d v="2024-05-02T00:00:00"/>
    <d v="2024-05-10T00:00:00"/>
    <s v="CUST-6076"/>
    <s v="Aarav Sharma"/>
    <x v="1"/>
    <x v="2"/>
    <s v="Karnataka"/>
    <s v="Bengaluru"/>
    <x v="1"/>
    <x v="4"/>
    <s v="Prime Chairs 721"/>
    <x v="3"/>
    <n v="1"/>
    <n v="4166.91"/>
    <n v="0"/>
    <n v="4166.91"/>
    <n v="3412.63"/>
    <n v="754.28"/>
    <s v="Paid"/>
    <x v="0"/>
    <s v="OK"/>
    <s v="OK"/>
    <s v="OK"/>
    <s v="OK"/>
    <n v="8"/>
    <s v="Unique"/>
    <n v="0"/>
    <s v="Valid"/>
    <n v="4166.91"/>
    <x v="758"/>
    <n v="0.18101662862888801"/>
    <x v="4"/>
    <x v="0"/>
    <s v="Clean"/>
  </r>
  <r>
    <s v="ORD-2024-10760"/>
    <d v="2024-07-19T00:00:00"/>
    <d v="2024-07-26T00:00:00"/>
    <s v="CUST-2098"/>
    <s v="Arjun Bose"/>
    <x v="3"/>
    <x v="2"/>
    <s v="Karnataka"/>
    <s v="Bengaluru"/>
    <x v="1"/>
    <x v="1"/>
    <s v="Prime Tables 797"/>
    <x v="0"/>
    <n v="5"/>
    <n v="3986.01"/>
    <n v="0.25"/>
    <n v="14947.54"/>
    <n v="9438.4599999999991"/>
    <n v="5509.08"/>
    <s v="Paid"/>
    <x v="0"/>
    <s v="OK"/>
    <s v="OK"/>
    <s v="OK"/>
    <s v="OK"/>
    <n v="7"/>
    <s v="Unique"/>
    <n v="0.25"/>
    <s v="Valid"/>
    <n v="14947.537500000002"/>
    <x v="759"/>
    <n v="0.36856087499362367"/>
    <x v="0"/>
    <x v="0"/>
    <s v="Clean"/>
  </r>
  <r>
    <s v="ORD-2024-10761"/>
    <d v="2024-08-28T00:00:00"/>
    <d v="2024-09-02T00:00:00"/>
    <s v="CUST-7193"/>
    <s v="Aditi Sen"/>
    <x v="3"/>
    <x v="1"/>
    <s v="Assam"/>
    <s v="Guwahati"/>
    <x v="0"/>
    <x v="2"/>
    <s v="Max Art 926"/>
    <x v="0"/>
    <n v="4"/>
    <n v="3365.53"/>
    <n v="0"/>
    <n v="13462.12"/>
    <n v="7600.63"/>
    <n v="5861.49"/>
    <s v="Pending"/>
    <x v="2"/>
    <s v="OK"/>
    <s v="OK"/>
    <s v="OK"/>
    <s v="OK"/>
    <n v="5"/>
    <s v="Unique"/>
    <n v="0"/>
    <s v="Valid"/>
    <n v="13462.12"/>
    <x v="760"/>
    <n v="0.43540616188237813"/>
    <x v="1"/>
    <x v="0"/>
    <s v="Clean"/>
  </r>
  <r>
    <s v="ORD-2025-10762"/>
    <d v="2025-08-27T00:00:00"/>
    <d v="2025-08-31T00:00:00"/>
    <s v="CUST-8948"/>
    <s v="Isha Nair"/>
    <x v="0"/>
    <x v="2"/>
    <s v="Karnataka"/>
    <s v="Bengaluru"/>
    <x v="2"/>
    <x v="12"/>
    <s v="Max Machines 364"/>
    <x v="2"/>
    <n v="3"/>
    <n v="2489.12"/>
    <n v="0"/>
    <n v="7467.36"/>
    <n v="5010.6099999999997"/>
    <n v="2456.75"/>
    <s v="Paid"/>
    <x v="0"/>
    <s v="OK"/>
    <s v="OK"/>
    <s v="OK"/>
    <s v="OK"/>
    <n v="4"/>
    <s v="Unique"/>
    <n v="0"/>
    <s v="Valid"/>
    <n v="7467.36"/>
    <x v="761"/>
    <n v="0.32899846799940008"/>
    <x v="1"/>
    <x v="1"/>
    <s v="Clean"/>
  </r>
  <r>
    <s v="ORD-2024-10763"/>
    <d v="2024-01-01T00:00:00"/>
    <d v="2024-01-05T00:00:00"/>
    <s v="CUST-6921"/>
    <s v="Diya Patel"/>
    <x v="2"/>
    <x v="3"/>
    <s v="Madhya Pradesh"/>
    <s v="Indore"/>
    <x v="2"/>
    <x v="12"/>
    <s v="Classic Machines 122"/>
    <x v="0"/>
    <n v="2"/>
    <n v="3694.12"/>
    <n v="0.2"/>
    <n v="5910.59"/>
    <n v="4775.4399999999996"/>
    <n v="1135.1500000000001"/>
    <s v="Refunded"/>
    <x v="2"/>
    <s v="OK"/>
    <s v="OK"/>
    <s v="OK"/>
    <s v="OK"/>
    <n v="4"/>
    <s v="Unique"/>
    <n v="0.2"/>
    <s v="Valid"/>
    <n v="5910.5920000000006"/>
    <x v="762"/>
    <n v="0.19205385856442145"/>
    <x v="10"/>
    <x v="0"/>
    <s v="Clean"/>
  </r>
  <r>
    <s v="ORD-2025-10764"/>
    <d v="2025-08-23T00:00:00"/>
    <d v="2025-08-25T00:00:00"/>
    <s v="CUST-4086"/>
    <s v="Diya Patel"/>
    <x v="0"/>
    <x v="0"/>
    <s v="Rajasthan"/>
    <s v="Jaipur"/>
    <x v="1"/>
    <x v="3"/>
    <s v="Elite Furnishings 169"/>
    <x v="1"/>
    <n v="6"/>
    <n v="2742.48"/>
    <n v="0"/>
    <n v="16454.88"/>
    <n v="12081.54"/>
    <n v="4373.34"/>
    <s v="Paid"/>
    <x v="0"/>
    <s v="OK"/>
    <s v="OK"/>
    <s v="OK"/>
    <s v="OK"/>
    <n v="2"/>
    <s v="Unique"/>
    <n v="0"/>
    <s v="Valid"/>
    <n v="16454.88"/>
    <x v="763"/>
    <n v="0.26577769026574488"/>
    <x v="1"/>
    <x v="1"/>
    <s v="Clean"/>
  </r>
  <r>
    <s v="ORD-2025-10765"/>
    <d v="2025-04-13T00:00:00"/>
    <d v="2025-04-13T00:00:00"/>
    <s v="CUST-5174"/>
    <s v="Priya Menon"/>
    <x v="2"/>
    <x v="2"/>
    <s v="Kerala"/>
    <s v="Kochi"/>
    <x v="1"/>
    <x v="10"/>
    <s v="Pro Bookcases 615"/>
    <x v="2"/>
    <n v="6"/>
    <n v="4414"/>
    <n v="0.05"/>
    <n v="25159.8"/>
    <n v="21606.83"/>
    <n v="3552.97"/>
    <s v="Paid"/>
    <x v="0"/>
    <s v="OK"/>
    <s v="OK"/>
    <s v="OK"/>
    <s v="OK"/>
    <n v="0"/>
    <s v="Unique"/>
    <n v="0.05"/>
    <s v="Valid"/>
    <n v="25159.8"/>
    <x v="764"/>
    <n v="0.14121614639226057"/>
    <x v="5"/>
    <x v="1"/>
    <s v="Clean"/>
  </r>
  <r>
    <s v="ORD-2025-10766"/>
    <d v="2025-06-29T00:00:00"/>
    <d v="2025-07-03T00:00:00"/>
    <s v="CUST-8747"/>
    <s v="Vikram Iyer"/>
    <x v="2"/>
    <x v="1"/>
    <s v="Jharkhand"/>
    <s v="Ranchi"/>
    <x v="0"/>
    <x v="7"/>
    <s v="Max Labels 136"/>
    <x v="2"/>
    <n v="3"/>
    <n v="608.14"/>
    <n v="0"/>
    <n v="1824.42"/>
    <n v="1214.8699999999999"/>
    <n v="609.54999999999995"/>
    <s v="Paid"/>
    <x v="0"/>
    <s v="OK"/>
    <s v="OK"/>
    <s v="OK"/>
    <s v="OK"/>
    <n v="4"/>
    <s v="Unique"/>
    <n v="0"/>
    <s v="Valid"/>
    <n v="1824.42"/>
    <x v="765"/>
    <n v="0.33410618169061956"/>
    <x v="2"/>
    <x v="1"/>
    <s v="Clean"/>
  </r>
  <r>
    <s v="ORD-2024-10767"/>
    <d v="2024-09-17T00:00:00"/>
    <d v="2024-09-24T00:00:00"/>
    <s v="CUST-3156"/>
    <s v="Mira Das"/>
    <x v="2"/>
    <x v="3"/>
    <s v="Gujarat"/>
    <s v="Ahmedabad"/>
    <x v="0"/>
    <x v="2"/>
    <s v="Prime Art 380"/>
    <x v="0"/>
    <n v="9"/>
    <n v="2307.96"/>
    <n v="0.2"/>
    <n v="16617.310000000001"/>
    <n v="9195.73"/>
    <n v="7421.58"/>
    <s v="Paid"/>
    <x v="1"/>
    <s v="OK"/>
    <s v="OK"/>
    <s v="OK"/>
    <s v="OK"/>
    <n v="7"/>
    <s v="Unique"/>
    <n v="0.2"/>
    <s v="Valid"/>
    <n v="16617.312000000002"/>
    <x v="766"/>
    <n v="0.44661747940942564"/>
    <x v="7"/>
    <x v="0"/>
    <s v="Clean"/>
  </r>
  <r>
    <s v="ORD-2024-10768"/>
    <d v="2024-05-03T00:00:00"/>
    <d v="2024-05-06T00:00:00"/>
    <s v="CUST-2043"/>
    <s v="Ananya Rao"/>
    <x v="3"/>
    <x v="0"/>
    <s v="Uttar Pradesh"/>
    <s v="Noida"/>
    <x v="0"/>
    <x v="9"/>
    <s v="Classic Binders 234"/>
    <x v="3"/>
    <n v="1"/>
    <n v="1244.58"/>
    <n v="0.25"/>
    <n v="933.43"/>
    <n v="583.09"/>
    <n v="350.34"/>
    <s v="Paid"/>
    <x v="0"/>
    <s v="OK"/>
    <s v="OK"/>
    <s v="OK"/>
    <s v="OK"/>
    <n v="3"/>
    <s v="Unique"/>
    <n v="0.25"/>
    <s v="Valid"/>
    <n v="933.43499999999995"/>
    <x v="767"/>
    <n v="0.3753287588316272"/>
    <x v="4"/>
    <x v="0"/>
    <s v="Clean"/>
  </r>
  <r>
    <s v="ORD-2025-10769"/>
    <d v="2025-04-02T00:00:00"/>
    <d v="2025-04-04T00:00:00"/>
    <s v="CUST-8808"/>
    <s v="Sneha Kapoor"/>
    <x v="3"/>
    <x v="1"/>
    <s v="Jharkhand"/>
    <s v="Ranchi"/>
    <x v="0"/>
    <x v="0"/>
    <s v="Classic Paper 280"/>
    <x v="1"/>
    <n v="5"/>
    <n v="3234.24"/>
    <n v="0.1"/>
    <n v="14554.08"/>
    <n v="11166.84"/>
    <n v="3387.24"/>
    <s v="Paid"/>
    <x v="0"/>
    <s v="OK"/>
    <s v="OK"/>
    <s v="OK"/>
    <s v="OK"/>
    <n v="2"/>
    <s v="Unique"/>
    <n v="0.1"/>
    <s v="Valid"/>
    <n v="14554.08"/>
    <x v="768"/>
    <n v="0.23273473830018798"/>
    <x v="5"/>
    <x v="1"/>
    <s v="Clean"/>
  </r>
  <r>
    <s v="ORD-2024-10770"/>
    <d v="2024-05-11T00:00:00"/>
    <d v="2024-05-13T00:00:00"/>
    <s v="CUST-1293"/>
    <s v="Priya Menon"/>
    <x v="3"/>
    <x v="3"/>
    <s v="Goa"/>
    <s v="Panaji"/>
    <x v="1"/>
    <x v="10"/>
    <s v="Classic Bookcases 922"/>
    <x v="1"/>
    <n v="3"/>
    <n v="3612.75"/>
    <n v="0.25"/>
    <n v="8128.69"/>
    <n v="5071.66"/>
    <n v="3057.03"/>
    <s v="Paid"/>
    <x v="0"/>
    <s v="OK"/>
    <s v="OK"/>
    <s v="OK"/>
    <s v="OK"/>
    <n v="2"/>
    <s v="Unique"/>
    <n v="0.25"/>
    <s v="Valid"/>
    <n v="8128.6875"/>
    <x v="769"/>
    <n v="0.3760788565189645"/>
    <x v="4"/>
    <x v="0"/>
    <s v="Clean"/>
  </r>
  <r>
    <s v="ORD-2024-10771"/>
    <d v="2024-02-15T00:00:00"/>
    <d v="2024-02-17T00:00:00"/>
    <s v="CUST-8384"/>
    <s v="Neha Gupta"/>
    <x v="0"/>
    <x v="0"/>
    <s v="Uttar Pradesh"/>
    <s v="Noida"/>
    <x v="2"/>
    <x v="6"/>
    <s v="Eco Copiers 396"/>
    <x v="2"/>
    <n v="4"/>
    <n v="863"/>
    <m/>
    <n v="3106.8"/>
    <n v="2376.62"/>
    <n v="730.18"/>
    <s v="Paid"/>
    <x v="0"/>
    <s v="OK"/>
    <s v="OK"/>
    <s v="OK"/>
    <s v="OK"/>
    <n v="2"/>
    <s v="Unique"/>
    <n v="0"/>
    <s v="Missing - Treated as 0"/>
    <n v="3452"/>
    <x v="770"/>
    <n v="0.3115237543453071"/>
    <x v="6"/>
    <x v="0"/>
    <s v="Warning"/>
  </r>
  <r>
    <s v="ORD-2024-10772"/>
    <d v="2024-07-12T00:00:00"/>
    <d v="2024-07-14T00:00:00"/>
    <s v="CUST-7861"/>
    <s v="Ananya Rao"/>
    <x v="0"/>
    <x v="0"/>
    <s v="Haryana"/>
    <s v="Gurugram"/>
    <x v="2"/>
    <x v="12"/>
    <s v="Basic Machines 401"/>
    <x v="0"/>
    <n v="4"/>
    <n v="2131.41"/>
    <m/>
    <n v="6394.23"/>
    <n v="3520.69"/>
    <n v="2873.54"/>
    <s v="Paid"/>
    <x v="0"/>
    <s v="OK"/>
    <s v="OK"/>
    <s v="OK"/>
    <s v="OK"/>
    <n v="2"/>
    <s v="Unique"/>
    <n v="0"/>
    <s v="Missing - Treated as 0"/>
    <n v="8525.64"/>
    <x v="771"/>
    <n v="0.58704683753946907"/>
    <x v="0"/>
    <x v="0"/>
    <s v="Warning"/>
  </r>
  <r>
    <s v="ORD-2025-10773"/>
    <d v="2025-07-15T00:00:00"/>
    <d v="2025-07-19T00:00:00"/>
    <s v="CUST-8422"/>
    <s v="Diya Patel"/>
    <x v="0"/>
    <x v="2"/>
    <s v="Tamil Nadu"/>
    <s v="Chennai"/>
    <x v="1"/>
    <x v="4"/>
    <s v="Basic Chairs 279"/>
    <x v="1"/>
    <n v="1"/>
    <n v="3903.22"/>
    <n v="0.05"/>
    <n v="3708.06"/>
    <n v="2760.29"/>
    <n v="947.77"/>
    <s v="Pending"/>
    <x v="1"/>
    <s v="OK"/>
    <s v="OK"/>
    <s v="OK"/>
    <s v="OK"/>
    <n v="4"/>
    <s v="Unique"/>
    <n v="0.05"/>
    <s v="Valid"/>
    <n v="3708.0589999999997"/>
    <x v="772"/>
    <n v="0.25559706574248142"/>
    <x v="0"/>
    <x v="1"/>
    <s v="Clean"/>
  </r>
  <r>
    <s v="ORD-2025-10774"/>
    <d v="2025-02-21T00:00:00"/>
    <d v="2025-02-21T00:00:00"/>
    <s v="CUST-4766"/>
    <s v="Karan Malhotra"/>
    <x v="3"/>
    <x v="3"/>
    <s v="Gujarat"/>
    <s v="Ahmedabad"/>
    <x v="2"/>
    <x v="11"/>
    <s v="Basic Phones 753"/>
    <x v="4"/>
    <n v="4"/>
    <n v="2945.07"/>
    <n v="0.2"/>
    <n v="9424.2199999999993"/>
    <n v="6178.92"/>
    <n v="3245.3"/>
    <s v="Paid"/>
    <x v="0"/>
    <s v="OK"/>
    <s v="OK"/>
    <s v="OK"/>
    <s v="OK"/>
    <n v="0"/>
    <s v="Unique"/>
    <n v="0.2"/>
    <s v="Valid"/>
    <n v="9424.2240000000002"/>
    <x v="773"/>
    <n v="0.3443576892909167"/>
    <x v="6"/>
    <x v="1"/>
    <s v="Warning"/>
  </r>
  <r>
    <s v="ORD-2025-10775"/>
    <d v="2025-08-07T00:00:00"/>
    <d v="2025-08-07T00:00:00"/>
    <s v="CUST-1182"/>
    <s v="Kabir Singh"/>
    <x v="0"/>
    <x v="3"/>
    <s v="Rajasthan"/>
    <s v="Udaipur"/>
    <x v="2"/>
    <x v="12"/>
    <s v="Smart Machines 789"/>
    <x v="4"/>
    <n v="9"/>
    <n v="1076.75"/>
    <n v="0.2"/>
    <n v="7752.6"/>
    <n v="4689.3"/>
    <n v="3063.3"/>
    <s v="Paid"/>
    <x v="0"/>
    <s v="OK"/>
    <s v="OK"/>
    <s v="OK"/>
    <s v="OK"/>
    <n v="0"/>
    <s v="Unique"/>
    <n v="0.2"/>
    <s v="Valid"/>
    <n v="7752.6"/>
    <x v="774"/>
    <n v="0.39513195573098059"/>
    <x v="1"/>
    <x v="1"/>
    <s v="Warning"/>
  </r>
  <r>
    <s v="ORD-2024-10776"/>
    <d v="2024-04-14T00:00:00"/>
    <d v="2024-04-22T00:00:00"/>
    <s v="CUST-4461"/>
    <s v="Arjun Bose"/>
    <x v="0"/>
    <x v="0"/>
    <s v="Haryana"/>
    <s v="Gurugram"/>
    <x v="2"/>
    <x v="5"/>
    <s v="Elite Accessories 312"/>
    <x v="3"/>
    <n v="8"/>
    <n v="3956.12"/>
    <n v="0.25"/>
    <n v="23736.720000000001"/>
    <n v="13890.9"/>
    <n v="9845.82"/>
    <s v="Paid"/>
    <x v="0"/>
    <s v="OK"/>
    <s v="OK"/>
    <s v="OK"/>
    <s v="OK"/>
    <n v="8"/>
    <s v="Unique"/>
    <n v="0.25"/>
    <s v="Valid"/>
    <n v="23736.720000000001"/>
    <x v="775"/>
    <n v="0.41479277676106896"/>
    <x v="5"/>
    <x v="0"/>
    <s v="Clean"/>
  </r>
  <r>
    <s v="ORD-2025-10777"/>
    <d v="2025-06-08T00:00:00"/>
    <d v="2025-06-13T00:00:00"/>
    <s v="CUST-9690"/>
    <s v="Aditi Sen"/>
    <x v="1"/>
    <x v="0"/>
    <s v="Rajasthan"/>
    <s v="Jaipur"/>
    <x v="2"/>
    <x v="6"/>
    <s v="Eco Copiers 528"/>
    <x v="0"/>
    <n v="7"/>
    <n v="3857.13"/>
    <n v="0"/>
    <n v="26999.91"/>
    <n v="17815.98"/>
    <n v="9183.93"/>
    <s v="Paid"/>
    <x v="0"/>
    <s v="OK"/>
    <s v="OK"/>
    <s v="OK"/>
    <s v="OK"/>
    <n v="5"/>
    <s v="Unique"/>
    <n v="0"/>
    <s v="Valid"/>
    <n v="26999.91"/>
    <x v="776"/>
    <n v="0.34014668937785347"/>
    <x v="2"/>
    <x v="1"/>
    <s v="Clean"/>
  </r>
  <r>
    <s v="ORD-2024-10778"/>
    <d v="2024-02-04T00:00:00"/>
    <d v="2024-02-06T00:00:00"/>
    <s v="CUST-6879"/>
    <s v="Kabir Singh"/>
    <x v="1"/>
    <x v="3"/>
    <s v="Madhya Pradesh"/>
    <s v="Indore"/>
    <x v="2"/>
    <x v="5"/>
    <s v="Elite Accessories 226"/>
    <x v="0"/>
    <n v="4"/>
    <n v="1489.74"/>
    <n v="0.15"/>
    <n v="5065.12"/>
    <n v="3530.12"/>
    <n v="1535"/>
    <s v="Failed"/>
    <x v="1"/>
    <s v="OK"/>
    <s v="OK"/>
    <s v="OK"/>
    <s v="OK"/>
    <n v="2"/>
    <s v="Unique"/>
    <n v="0.15"/>
    <s v="Valid"/>
    <n v="5065.116"/>
    <x v="777"/>
    <n v="0.30305248685321323"/>
    <x v="6"/>
    <x v="0"/>
    <s v="Clean"/>
  </r>
  <r>
    <s v="ORD-2024-10779"/>
    <d v="2024-07-24T00:00:00"/>
    <d v="2024-07-24T00:00:00"/>
    <s v="CUST-4714"/>
    <s v="Karan Malhotra"/>
    <x v="1"/>
    <x v="0"/>
    <s v="Haryana"/>
    <s v="Gurugram"/>
    <x v="2"/>
    <x v="6"/>
    <s v="Pro Copiers 298"/>
    <x v="0"/>
    <n v="4"/>
    <n v="1676.88"/>
    <n v="0"/>
    <n v="6707.52"/>
    <n v="5672.57"/>
    <n v="1034.95"/>
    <s v="Paid"/>
    <x v="0"/>
    <s v="OK"/>
    <s v="OK"/>
    <s v="OK"/>
    <s v="OK"/>
    <n v="0"/>
    <s v="Unique"/>
    <n v="0"/>
    <s v="Valid"/>
    <n v="6707.52"/>
    <x v="778"/>
    <n v="0.15429696817899918"/>
    <x v="0"/>
    <x v="0"/>
    <s v="Clean"/>
  </r>
  <r>
    <s v="ORD-2024-10780"/>
    <d v="2024-01-15T00:00:00"/>
    <d v="2024-01-20T00:00:00"/>
    <s v="CUST-7547"/>
    <s v="Priya Menon"/>
    <x v="1"/>
    <x v="2"/>
    <s v="Andhra Pradesh"/>
    <s v="Vijayawada"/>
    <x v="1"/>
    <x v="4"/>
    <s v="Prime Chairs 331"/>
    <x v="3"/>
    <n v="4"/>
    <n v="3153.54"/>
    <n v="0.05"/>
    <n v="11983.45"/>
    <n v="8572.9"/>
    <n v="3410.55"/>
    <s v="Paid"/>
    <x v="0"/>
    <s v="OK"/>
    <s v="OK"/>
    <s v="OK"/>
    <s v="OK"/>
    <n v="5"/>
    <s v="Unique"/>
    <n v="0.05"/>
    <s v="Valid"/>
    <n v="11983.451999999999"/>
    <x v="779"/>
    <n v="0.2846051371507976"/>
    <x v="10"/>
    <x v="0"/>
    <s v="Clean"/>
  </r>
  <r>
    <s v="ORD-2024-10781"/>
    <d v="2024-08-04T00:00:00"/>
    <d v="2024-08-10T00:00:00"/>
    <s v="CUST-3288"/>
    <s v="Diya Patel"/>
    <x v="1"/>
    <x v="3"/>
    <s v="Rajasthan"/>
    <s v="Udaipur"/>
    <x v="1"/>
    <x v="4"/>
    <s v="Classic Chairs 798"/>
    <x v="1"/>
    <n v="4"/>
    <n v="426.43"/>
    <n v="0.2"/>
    <n v="1364.58"/>
    <n v="978.16"/>
    <n v="386.42"/>
    <s v="Paid"/>
    <x v="0"/>
    <s v="OK"/>
    <s v="OK"/>
    <s v="OK"/>
    <s v="OK"/>
    <n v="6"/>
    <s v="Unique"/>
    <n v="0.2"/>
    <s v="Valid"/>
    <n v="1364.576"/>
    <x v="780"/>
    <n v="0.28317660577351506"/>
    <x v="1"/>
    <x v="0"/>
    <s v="Clean"/>
  </r>
  <r>
    <s v="ORD-2024-10782"/>
    <d v="2024-02-02T00:00:00"/>
    <d v="2024-02-10T00:00:00"/>
    <s v="CUST-8597"/>
    <s v="Karan Malhotra"/>
    <x v="3"/>
    <x v="3"/>
    <s v="Rajasthan"/>
    <s v="Udaipur"/>
    <x v="0"/>
    <x v="7"/>
    <s v="Classic Labels 204"/>
    <x v="2"/>
    <n v="3"/>
    <n v="383.4"/>
    <n v="0.25"/>
    <n v="862.65"/>
    <n v="603.73"/>
    <n v="258.92"/>
    <s v="Pending"/>
    <x v="2"/>
    <s v="OK"/>
    <s v="OK"/>
    <s v="OK"/>
    <s v="OK"/>
    <n v="8"/>
    <s v="Unique"/>
    <n v="0.25"/>
    <s v="Valid"/>
    <n v="862.64999999999986"/>
    <x v="781"/>
    <n v="0.30014490233582553"/>
    <x v="6"/>
    <x v="0"/>
    <s v="Clean"/>
  </r>
  <r>
    <s v="ORD-2025-10783"/>
    <d v="2025-03-14T00:00:00"/>
    <d v="2025-03-22T00:00:00"/>
    <s v="CUST-9085"/>
    <s v="Mira Das"/>
    <x v="2"/>
    <x v="1"/>
    <s v="West Bengal"/>
    <s v="Kolkata"/>
    <x v="2"/>
    <x v="6"/>
    <s v="Basic Copiers 254"/>
    <x v="3"/>
    <n v="2"/>
    <n v="669.63"/>
    <n v="0.15"/>
    <n v="1138.3699999999999"/>
    <n v="797.34"/>
    <n v="341.03"/>
    <s v="Paid"/>
    <x v="0"/>
    <s v="OK"/>
    <s v="OK"/>
    <s v="OK"/>
    <s v="OK"/>
    <n v="8"/>
    <s v="Unique"/>
    <n v="0.15"/>
    <s v="Valid"/>
    <n v="1138.3709999999999"/>
    <x v="782"/>
    <n v="0.29957808131092578"/>
    <x v="11"/>
    <x v="1"/>
    <s v="Clean"/>
  </r>
  <r>
    <s v="ORD-2024-10784"/>
    <d v="2024-06-07T00:00:00"/>
    <d v="2024-06-07T00:00:00"/>
    <s v="CUST-7746"/>
    <s v="Aarav Sharma"/>
    <x v="1"/>
    <x v="1"/>
    <s v="Bihar"/>
    <s v="Patna"/>
    <x v="0"/>
    <x v="2"/>
    <s v="Basic Art 709"/>
    <x v="0"/>
    <n v="1"/>
    <n v="2581.9299999999998"/>
    <n v="0.05"/>
    <n v="2452.83"/>
    <n v="1906.7"/>
    <n v="546.13"/>
    <s v="Paid"/>
    <x v="0"/>
    <s v="OK"/>
    <s v="OK"/>
    <s v="OK"/>
    <s v="OK"/>
    <n v="0"/>
    <s v="Unique"/>
    <n v="0.05"/>
    <s v="Valid"/>
    <n v="2452.8334999999997"/>
    <x v="783"/>
    <n v="0.22265412634000625"/>
    <x v="2"/>
    <x v="0"/>
    <s v="Clean"/>
  </r>
  <r>
    <s v="ORD-2025-10785"/>
    <d v="2025-10-04T00:00:00"/>
    <d v="2025-10-05T00:00:00"/>
    <s v="CUST-3119"/>
    <s v="Priya Menon"/>
    <x v="2"/>
    <x v="0"/>
    <s v="Punjab"/>
    <s v="Ludhiana"/>
    <x v="2"/>
    <x v="6"/>
    <s v="Max Copiers 551"/>
    <x v="2"/>
    <n v="4"/>
    <n v="418.18"/>
    <n v="0.05"/>
    <n v="1589.08"/>
    <n v="1084.6600000000001"/>
    <n v="504.42"/>
    <s v="Paid"/>
    <x v="0"/>
    <s v="OK"/>
    <s v="OK"/>
    <s v="OK"/>
    <s v="OK"/>
    <n v="1"/>
    <s v="Unique"/>
    <n v="0.05"/>
    <s v="Valid"/>
    <n v="1589.0840000000001"/>
    <x v="784"/>
    <n v="0.31743067075120002"/>
    <x v="9"/>
    <x v="1"/>
    <s v="Clean"/>
  </r>
  <r>
    <s v="ORD-2024-10786"/>
    <d v="2024-05-23T00:00:00"/>
    <d v="2024-05-29T00:00:00"/>
    <s v="CUST-7518"/>
    <s v="Diya Patel"/>
    <x v="1"/>
    <x v="0"/>
    <s v="Haryana"/>
    <s v="Gurugram"/>
    <x v="0"/>
    <x v="8"/>
    <s v="Eco Storage 183"/>
    <x v="1"/>
    <n v="2"/>
    <n v="3012.94"/>
    <n v="0.25"/>
    <n v="4519.41"/>
    <n v="3504.16"/>
    <n v="1275.55"/>
    <s v="Failed"/>
    <x v="1"/>
    <s v="OK"/>
    <s v="OK"/>
    <s v="OK"/>
    <s v="OK"/>
    <n v="6"/>
    <s v="Unique"/>
    <n v="0.25"/>
    <s v="Valid"/>
    <n v="4519.41"/>
    <x v="785"/>
    <n v="0.22464215461752751"/>
    <x v="4"/>
    <x v="0"/>
    <s v="Clean"/>
  </r>
  <r>
    <s v="ORD-2025-10787"/>
    <d v="2025-07-06T00:00:00"/>
    <d v="2025-07-08T00:00:00"/>
    <s v="CUST-1343"/>
    <s v="Ananya Rao"/>
    <x v="2"/>
    <x v="0"/>
    <s v="Rajasthan"/>
    <s v="Jaipur"/>
    <x v="1"/>
    <x v="3"/>
    <s v="Pro Furnishings 233"/>
    <x v="4"/>
    <n v="4"/>
    <n v="715.45"/>
    <n v="0.05"/>
    <n v="2718.71"/>
    <n v="2065.0500000000002"/>
    <n v="653.66"/>
    <s v="Refunded"/>
    <x v="2"/>
    <s v="OK"/>
    <s v="OK"/>
    <s v="OK"/>
    <s v="OK"/>
    <n v="2"/>
    <s v="Unique"/>
    <n v="0.05"/>
    <s v="Valid"/>
    <n v="2718.71"/>
    <x v="786"/>
    <n v="0.24043020403058799"/>
    <x v="0"/>
    <x v="1"/>
    <s v="Warning"/>
  </r>
  <r>
    <s v="ORD-2024-10788"/>
    <d v="2024-09-12T00:00:00"/>
    <d v="2024-09-18T00:00:00"/>
    <s v="CUST-7548"/>
    <s v="Ananya Rao"/>
    <x v="3"/>
    <x v="1"/>
    <s v="Bihar"/>
    <s v="Patna"/>
    <x v="0"/>
    <x v="0"/>
    <s v="Prime Paper 878"/>
    <x v="0"/>
    <n v="2"/>
    <n v="3718.77"/>
    <n v="0.05"/>
    <n v="7065.66"/>
    <n v="4915.2700000000004"/>
    <n v="2150.39"/>
    <s v="Paid"/>
    <x v="0"/>
    <s v="OK"/>
    <s v="OK"/>
    <s v="OK"/>
    <s v="OK"/>
    <n v="6"/>
    <s v="Unique"/>
    <n v="0.05"/>
    <s v="Valid"/>
    <n v="7065.6629999999996"/>
    <x v="787"/>
    <n v="0.30434412170521002"/>
    <x v="7"/>
    <x v="0"/>
    <s v="Clean"/>
  </r>
  <r>
    <s v="ORD-2024-10789"/>
    <d v="2024-08-01T00:00:00"/>
    <d v="2024-08-02T00:00:00"/>
    <s v="CUST-3631"/>
    <s v="Isha Nair"/>
    <x v="2"/>
    <x v="0"/>
    <s v="Uttar Pradesh"/>
    <s v="Noida"/>
    <x v="1"/>
    <x v="4"/>
    <s v="Smart Chairs 353"/>
    <x v="3"/>
    <n v="8"/>
    <n v="2487.64"/>
    <n v="0.1"/>
    <n v="17911.009999999998"/>
    <n v="11546.05"/>
    <n v="6364.96"/>
    <s v="Failed"/>
    <x v="2"/>
    <s v="OK"/>
    <s v="OK"/>
    <s v="OK"/>
    <s v="OK"/>
    <n v="1"/>
    <s v="Unique"/>
    <n v="0.1"/>
    <s v="Valid"/>
    <n v="17911.007999999998"/>
    <x v="788"/>
    <n v="0.35536570582738836"/>
    <x v="1"/>
    <x v="0"/>
    <s v="Clean"/>
  </r>
  <r>
    <s v="ORD-2025-10790"/>
    <d v="2025-03-07T00:00:00"/>
    <d v="2025-03-08T00:00:00"/>
    <s v="CUST-1453"/>
    <s v="Priya Menon"/>
    <x v="3"/>
    <x v="4"/>
    <s v="Rajasthan"/>
    <s v="Udaipur"/>
    <x v="2"/>
    <x v="6"/>
    <s v="Smart Copiers 408"/>
    <x v="1"/>
    <n v="4"/>
    <n v="3537.48"/>
    <n v="0"/>
    <n v="14149.92"/>
    <n v="9466.51"/>
    <n v="4683.41"/>
    <s v="Paid"/>
    <x v="0"/>
    <s v="OK"/>
    <s v="OK"/>
    <s v="OK"/>
    <s v="OK"/>
    <n v="1"/>
    <s v="Unique"/>
    <n v="0"/>
    <s v="Valid"/>
    <n v="14149.92"/>
    <x v="789"/>
    <n v="0.33098491016203624"/>
    <x v="11"/>
    <x v="1"/>
    <s v="Warning"/>
  </r>
  <r>
    <s v="ORD-2024-10791"/>
    <d v="2024-05-31T00:00:00"/>
    <d v="2024-06-02T00:00:00"/>
    <s v="CUST-1951"/>
    <s v="Rahul Verma"/>
    <x v="2"/>
    <x v="2"/>
    <s v="Andhra Pradesh"/>
    <s v="Vijayawada"/>
    <x v="0"/>
    <x v="2"/>
    <s v="Classic Art 781"/>
    <x v="3"/>
    <n v="8"/>
    <n v="667.59"/>
    <n v="0.2"/>
    <n v="4272.58"/>
    <n v="3328.92"/>
    <n v="943.66"/>
    <s v="Paid"/>
    <x v="0"/>
    <s v="OK"/>
    <s v="OK"/>
    <s v="OK"/>
    <s v="OK"/>
    <n v="2"/>
    <s v="Unique"/>
    <n v="0.2"/>
    <s v="Valid"/>
    <n v="4272.576"/>
    <x v="790"/>
    <n v="0.22086347908147214"/>
    <x v="4"/>
    <x v="0"/>
    <s v="Clean"/>
  </r>
  <r>
    <s v="ORD-2024-10792"/>
    <d v="2024-10-02T00:00:00"/>
    <d v="2024-10-06T00:00:00"/>
    <s v="CUST-6300"/>
    <s v="Rahul Verma"/>
    <x v="3"/>
    <x v="2"/>
    <s v="Karnataka"/>
    <s v="Bengaluru"/>
    <x v="1"/>
    <x v="10"/>
    <s v="Eco Bookcases 144"/>
    <x v="1"/>
    <n v="8"/>
    <n v="1558.77"/>
    <n v="0.25"/>
    <n v="9352.6200000000008"/>
    <n v="5269.41"/>
    <n v="4083.21"/>
    <s v="Paid"/>
    <x v="0"/>
    <s v="OK"/>
    <s v="OK"/>
    <s v="OK"/>
    <s v="OK"/>
    <n v="4"/>
    <s v="Unique"/>
    <n v="0.25"/>
    <s v="Valid"/>
    <n v="9352.619999999999"/>
    <x v="791"/>
    <n v="0.43658461479243243"/>
    <x v="9"/>
    <x v="0"/>
    <s v="Clean"/>
  </r>
  <r>
    <s v="ORD-2025-10793"/>
    <d v="2025-06-04T00:00:00"/>
    <d v="2025-06-08T00:00:00"/>
    <s v="CUST-1417"/>
    <s v="Arjun Bose"/>
    <x v="1"/>
    <x v="1"/>
    <s v="Assam"/>
    <s v="Guwahati"/>
    <x v="1"/>
    <x v="3"/>
    <s v="Elite Furnishings 852"/>
    <x v="0"/>
    <n v="1"/>
    <n v="3501.12"/>
    <n v="0.2"/>
    <n v="2800.9"/>
    <n v="1735.98"/>
    <n v="1064.92"/>
    <s v="Paid"/>
    <x v="2"/>
    <s v="OK"/>
    <s v="OK"/>
    <s v="OK"/>
    <s v="OK"/>
    <n v="4"/>
    <s v="Unique"/>
    <n v="0.2"/>
    <s v="Valid"/>
    <n v="2800.8960000000002"/>
    <x v="792"/>
    <n v="0.38020547710446945"/>
    <x v="2"/>
    <x v="1"/>
    <s v="Clean"/>
  </r>
  <r>
    <s v="ORD-2024-10794"/>
    <d v="2024-05-28T00:00:00"/>
    <d v="2024-06-03T00:00:00"/>
    <s v="CUST-5421"/>
    <s v="Vikram Iyer"/>
    <x v="2"/>
    <x v="0"/>
    <s v="Rajasthan"/>
    <s v="Jaipur"/>
    <x v="2"/>
    <x v="6"/>
    <s v="Basic Copiers 238"/>
    <x v="0"/>
    <n v="5"/>
    <n v="4302.32"/>
    <n v="0"/>
    <n v="21511.599999999999"/>
    <n v="15408.47"/>
    <n v="6103.13"/>
    <s v="Paid"/>
    <x v="0"/>
    <s v="OK"/>
    <s v="OK"/>
    <s v="OK"/>
    <s v="OK"/>
    <n v="6"/>
    <s v="Unique"/>
    <n v="0"/>
    <s v="Valid"/>
    <n v="21511.599999999999"/>
    <x v="793"/>
    <n v="0.28371343833094703"/>
    <x v="4"/>
    <x v="0"/>
    <s v="Clean"/>
  </r>
  <r>
    <s v="ORD-2025-10795"/>
    <d v="2025-06-22T00:00:00"/>
    <d v="2025-06-24T00:00:00"/>
    <s v="CUST-2829"/>
    <s v="Sneha Kapoor"/>
    <x v="2"/>
    <x v="1"/>
    <s v="Assam"/>
    <s v="Guwahati"/>
    <x v="0"/>
    <x v="0"/>
    <s v="Elite Paper 847"/>
    <x v="3"/>
    <n v="9"/>
    <n v="951.55"/>
    <n v="0.15"/>
    <n v="7279.36"/>
    <n v="4870.3900000000003"/>
    <n v="2408.9699999999998"/>
    <s v="Paid"/>
    <x v="0"/>
    <s v="OK"/>
    <s v="OK"/>
    <s v="OK"/>
    <s v="OK"/>
    <n v="2"/>
    <s v="Unique"/>
    <n v="0.15"/>
    <s v="Valid"/>
    <n v="7279.3574999999992"/>
    <x v="794"/>
    <n v="0.33093133562955235"/>
    <x v="2"/>
    <x v="1"/>
    <s v="Clean"/>
  </r>
  <r>
    <s v="ORD-2024-10796"/>
    <d v="2024-07-30T00:00:00"/>
    <d v="2024-07-30T00:00:00"/>
    <s v="CUST-6529"/>
    <s v="Diya Patel"/>
    <x v="3"/>
    <x v="1"/>
    <s v="Odisha"/>
    <s v="Bhubaneswar"/>
    <x v="2"/>
    <x v="6"/>
    <s v="Pro Copiers 653"/>
    <x v="1"/>
    <n v="9"/>
    <n v="2894.66"/>
    <n v="0"/>
    <n v="26051.94"/>
    <n v="16883.59"/>
    <n v="9168.35"/>
    <s v="Refunded"/>
    <x v="1"/>
    <s v="OK"/>
    <s v="OK"/>
    <s v="OK"/>
    <s v="OK"/>
    <n v="0"/>
    <s v="Unique"/>
    <n v="0"/>
    <s v="Valid"/>
    <n v="26051.94"/>
    <x v="795"/>
    <n v="0.3519258066769691"/>
    <x v="0"/>
    <x v="0"/>
    <s v="Clean"/>
  </r>
  <r>
    <s v="ORD-2024-10797"/>
    <d v="2024-03-23T00:00:00"/>
    <d v="2024-03-30T00:00:00"/>
    <s v="CUST-3126"/>
    <s v="Rohan Mehta"/>
    <x v="1"/>
    <x v="2"/>
    <s v="Andhra Pradesh"/>
    <s v="Vijayawada"/>
    <x v="2"/>
    <x v="12"/>
    <s v="Elite Machines 459"/>
    <x v="2"/>
    <n v="6"/>
    <n v="1894.44"/>
    <n v="0.15"/>
    <n v="9661.64"/>
    <n v="6303.77"/>
    <n v="3357.87"/>
    <s v="Paid"/>
    <x v="0"/>
    <s v="OK"/>
    <s v="OK"/>
    <s v="OK"/>
    <s v="OK"/>
    <n v="7"/>
    <s v="Unique"/>
    <n v="0.15"/>
    <s v="Valid"/>
    <n v="9661.6439999999984"/>
    <x v="796"/>
    <n v="0.34754685641491223"/>
    <x v="11"/>
    <x v="0"/>
    <s v="Clean"/>
  </r>
  <r>
    <s v="ORD-2024-10798"/>
    <d v="2024-04-18T00:00:00"/>
    <d v="2024-04-22T00:00:00"/>
    <s v="CUST-3991"/>
    <s v="Aarav Sharma"/>
    <x v="0"/>
    <x v="1"/>
    <s v="Odisha"/>
    <s v="Bhubaneswar"/>
    <x v="0"/>
    <x v="9"/>
    <s v="Elite Binders 764"/>
    <x v="2"/>
    <n v="8"/>
    <n v="1714.37"/>
    <n v="0"/>
    <n v="13714.96"/>
    <n v="10550.47"/>
    <n v="3164.49"/>
    <s v="Failed"/>
    <x v="1"/>
    <s v="OK"/>
    <s v="OK"/>
    <s v="OK"/>
    <s v="OK"/>
    <n v="4"/>
    <s v="Unique"/>
    <n v="0"/>
    <s v="Valid"/>
    <n v="13714.96"/>
    <x v="797"/>
    <n v="0.23073271814135804"/>
    <x v="5"/>
    <x v="0"/>
    <s v="Clean"/>
  </r>
  <r>
    <s v="ORD-2025-10799"/>
    <d v="2025-07-11T00:00:00"/>
    <d v="2025-07-09T00:00:00"/>
    <s v="CUST-7553"/>
    <s v="Aditi Sen"/>
    <x v="2"/>
    <x v="0"/>
    <s v="Delhi"/>
    <s v="New Delhi"/>
    <x v="1"/>
    <x v="3"/>
    <s v="Classic Furnishings 348"/>
    <x v="3"/>
    <n v="9"/>
    <n v="1706.05"/>
    <n v="0"/>
    <n v="15354.45"/>
    <n v="9656.5"/>
    <n v="5697.95"/>
    <s v="Paid"/>
    <x v="0"/>
    <s v="OK"/>
    <s v="OK"/>
    <s v="OK"/>
    <s v="Invalid: Ship Before Order"/>
    <n v="-2"/>
    <s v="Unique"/>
    <n v="0"/>
    <s v="Valid"/>
    <n v="15354.449999999999"/>
    <x v="798"/>
    <n v="0.37109437329243311"/>
    <x v="0"/>
    <x v="1"/>
    <s v="Invalid"/>
  </r>
  <r>
    <s v="ORD-2024-10800"/>
    <d v="2024-10-10T00:00:00"/>
    <d v="2024-10-17T00:00:00"/>
    <s v="CUST-8527"/>
    <s v="Isha Nair"/>
    <x v="3"/>
    <x v="0"/>
    <s v="Haryana"/>
    <s v="Gurugram"/>
    <x v="2"/>
    <x v="5"/>
    <s v="Smart Accessories 487"/>
    <x v="4"/>
    <n v="5"/>
    <n v="967.41"/>
    <n v="0.05"/>
    <n v="4595.2"/>
    <n v="3887.41"/>
    <n v="707.79"/>
    <s v="Paid"/>
    <x v="2"/>
    <s v="OK"/>
    <s v="OK"/>
    <s v="OK"/>
    <s v="OK"/>
    <n v="7"/>
    <s v="Unique"/>
    <n v="0.05"/>
    <s v="Valid"/>
    <n v="4595.1975000000002"/>
    <x v="799"/>
    <n v="0.15402765604742785"/>
    <x v="9"/>
    <x v="0"/>
    <s v="Warning"/>
  </r>
  <r>
    <s v="ORD-2024-10801"/>
    <d v="2024-03-01T00:00:00"/>
    <d v="2024-03-07T00:00:00"/>
    <s v="CUST-5015"/>
    <s v="Vikram Iyer"/>
    <x v="1"/>
    <x v="3"/>
    <s v="Maharashtra"/>
    <s v="Mumbai"/>
    <x v="0"/>
    <x v="8"/>
    <s v="Elite Storage 825"/>
    <x v="0"/>
    <n v="6"/>
    <n v="4163.72"/>
    <n v="0.15"/>
    <n v="21234.97"/>
    <n v="16736.09"/>
    <n v="4498.88"/>
    <s v="Paid"/>
    <x v="0"/>
    <s v="OK"/>
    <s v="OK"/>
    <s v="OK"/>
    <s v="OK"/>
    <n v="6"/>
    <s v="Unique"/>
    <n v="0.15"/>
    <s v="Valid"/>
    <n v="21234.971999999998"/>
    <x v="800"/>
    <n v="0.21186192286950029"/>
    <x v="11"/>
    <x v="0"/>
    <s v="Clean"/>
  </r>
  <r>
    <s v="ORD-2025-10802"/>
    <d v="2025-10-08T00:00:00"/>
    <d v="2025-10-15T00:00:00"/>
    <s v="CUST-3344"/>
    <s v="Aarav Sharma"/>
    <x v="3"/>
    <x v="1"/>
    <s v="Odisha"/>
    <s v="Bhubaneswar"/>
    <x v="2"/>
    <x v="5"/>
    <s v="Pro Accessories 500"/>
    <x v="0"/>
    <n v="3"/>
    <n v="3372.21"/>
    <n v="0.2"/>
    <n v="8093.3"/>
    <n v="6052.43"/>
    <n v="2040.87"/>
    <s v="Pending"/>
    <x v="1"/>
    <s v="OK"/>
    <s v="OK"/>
    <s v="OK"/>
    <s v="OK"/>
    <n v="7"/>
    <s v="Unique"/>
    <n v="0.2"/>
    <s v="Valid"/>
    <n v="8093.304000000001"/>
    <x v="801"/>
    <n v="0.25216821214179036"/>
    <x v="9"/>
    <x v="1"/>
    <s v="Clean"/>
  </r>
  <r>
    <s v="ORD-2025-10803"/>
    <d v="2025-02-16T00:00:00"/>
    <d v="2025-02-16T00:00:00"/>
    <s v="CUST-5866"/>
    <s v="Rohan Mehta"/>
    <x v="1"/>
    <x v="1"/>
    <s v="Assam"/>
    <s v="Guwahati"/>
    <x v="1"/>
    <x v="3"/>
    <s v="Pro Furnishings 909"/>
    <x v="0"/>
    <n v="6"/>
    <n v="1441.91"/>
    <n v="0"/>
    <n v="8651.4599999999991"/>
    <n v="5254.62"/>
    <n v="3396.84"/>
    <s v="Failed"/>
    <x v="2"/>
    <s v="OK"/>
    <s v="OK"/>
    <s v="OK"/>
    <s v="OK"/>
    <n v="0"/>
    <s v="Unique"/>
    <n v="0"/>
    <s v="Valid"/>
    <n v="8651.4600000000009"/>
    <x v="802"/>
    <n v="0.39263199506210522"/>
    <x v="6"/>
    <x v="1"/>
    <s v="Clean"/>
  </r>
  <r>
    <s v="ORD-2024-10804"/>
    <d v="2024-12-09T00:00:00"/>
    <d v="2024-12-13T00:00:00"/>
    <s v="CUST-7180"/>
    <s v="Rohan Mehta"/>
    <x v="0"/>
    <x v="4"/>
    <s v="Jharkhand"/>
    <s v="Ranchi"/>
    <x v="0"/>
    <x v="7"/>
    <s v="Basic Labels 359"/>
    <x v="2"/>
    <n v="1"/>
    <n v="4306.6499999999996"/>
    <n v="0"/>
    <n v="4306.6499999999996"/>
    <n v="2568.8200000000002"/>
    <n v="1737.83"/>
    <s v="Paid"/>
    <x v="0"/>
    <s v="OK"/>
    <s v="OK"/>
    <s v="OK"/>
    <s v="OK"/>
    <n v="4"/>
    <s v="Unique"/>
    <n v="0"/>
    <s v="Valid"/>
    <n v="4306.6499999999996"/>
    <x v="803"/>
    <n v="0.40352245945224235"/>
    <x v="8"/>
    <x v="0"/>
    <s v="Warning"/>
  </r>
  <r>
    <s v="ORD-2025-10805"/>
    <d v="2025-09-10T00:00:00"/>
    <d v="2025-09-18T00:00:00"/>
    <s v="CUST-8745"/>
    <s v="Rahul Verma"/>
    <x v="3"/>
    <x v="2"/>
    <s v="Telangana"/>
    <s v="Hyderabad"/>
    <x v="1"/>
    <x v="3"/>
    <s v="Eco Furnishings 541"/>
    <x v="3"/>
    <n v="1"/>
    <n v="2050.62"/>
    <n v="0.05"/>
    <n v="1948.09"/>
    <n v="1507.08"/>
    <n v="441.01"/>
    <s v="Paid"/>
    <x v="0"/>
    <s v="OK"/>
    <s v="OK"/>
    <s v="OK"/>
    <s v="OK"/>
    <n v="8"/>
    <s v="Unique"/>
    <n v="0.05"/>
    <s v="Valid"/>
    <n v="1948.0889999999997"/>
    <x v="804"/>
    <n v="0.22638031424642296"/>
    <x v="7"/>
    <x v="1"/>
    <s v="Clean"/>
  </r>
  <r>
    <s v="ORD-2025-10806"/>
    <d v="2025-04-06T00:00:00"/>
    <d v="2025-04-07T00:00:00"/>
    <s v="CUST-2098"/>
    <s v="Priya Menon"/>
    <x v="3"/>
    <x v="1"/>
    <s v="Assam"/>
    <s v="Guwahati"/>
    <x v="0"/>
    <x v="9"/>
    <s v="Classic Binders 103"/>
    <x v="0"/>
    <n v="2"/>
    <n v="2030.06"/>
    <n v="0.25"/>
    <n v="3045.09"/>
    <n v="2601.09"/>
    <n v="444"/>
    <s v="Paid"/>
    <x v="0"/>
    <s v="OK"/>
    <s v="OK"/>
    <s v="OK"/>
    <s v="OK"/>
    <n v="1"/>
    <s v="Unique"/>
    <n v="0.25"/>
    <s v="Valid"/>
    <n v="3045.09"/>
    <x v="805"/>
    <n v="0.14580849827098705"/>
    <x v="5"/>
    <x v="1"/>
    <s v="Clean"/>
  </r>
  <r>
    <s v="ORD-2024-10807"/>
    <d v="2024-11-09T00:00:00"/>
    <d v="2024-11-15T00:00:00"/>
    <s v="CUST-3704"/>
    <s v="Isha Nair"/>
    <x v="3"/>
    <x v="0"/>
    <s v="Rajasthan"/>
    <s v="Jaipur"/>
    <x v="2"/>
    <x v="6"/>
    <s v="Max Copiers 560"/>
    <x v="3"/>
    <n v="1"/>
    <n v="3665.97"/>
    <n v="0.2"/>
    <n v="2932.78"/>
    <n v="1900.35"/>
    <n v="1032.43"/>
    <s v="Failed"/>
    <x v="1"/>
    <s v="OK"/>
    <s v="OK"/>
    <s v="OK"/>
    <s v="OK"/>
    <n v="6"/>
    <s v="Unique"/>
    <n v="0.2"/>
    <s v="Valid"/>
    <n v="2932.7759999999998"/>
    <x v="806"/>
    <n v="0.35203029484692999"/>
    <x v="3"/>
    <x v="0"/>
    <s v="Clean"/>
  </r>
  <r>
    <s v="ORD-2025-10808"/>
    <d v="2025-02-07T00:00:00"/>
    <d v="2025-02-08T00:00:00"/>
    <s v="CUST-5884"/>
    <s v="Karan Malhotra"/>
    <x v="1"/>
    <x v="2"/>
    <s v="Telangana"/>
    <s v="Hyderabad"/>
    <x v="0"/>
    <x v="7"/>
    <s v="Smart Labels 436"/>
    <x v="3"/>
    <n v="2"/>
    <n v="2432.98"/>
    <n v="0.1"/>
    <n v="4379.3599999999997"/>
    <n v="3723.93"/>
    <n v="655.43"/>
    <s v="Paid"/>
    <x v="0"/>
    <s v="OK"/>
    <s v="OK"/>
    <s v="OK"/>
    <s v="OK"/>
    <n v="1"/>
    <s v="Unique"/>
    <n v="0.1"/>
    <s v="Valid"/>
    <n v="4379.3640000000005"/>
    <x v="807"/>
    <n v="0.14966419781502532"/>
    <x v="6"/>
    <x v="1"/>
    <s v="Clean"/>
  </r>
  <r>
    <s v="ORD-2025-10809"/>
    <d v="2025-08-31T00:00:00"/>
    <d v="2025-08-28T00:00:00"/>
    <s v="CUST-7503"/>
    <s v="Aarav Sharma"/>
    <x v="1"/>
    <x v="2"/>
    <s v="Tamil Nadu"/>
    <s v="Chennai"/>
    <x v="1"/>
    <x v="3"/>
    <s v="Pro Furnishings 386"/>
    <x v="2"/>
    <n v="7"/>
    <n v="977.28"/>
    <n v="0.2"/>
    <n v="5472.77"/>
    <n v="4477.33"/>
    <n v="995.44"/>
    <s v="Paid"/>
    <x v="0"/>
    <s v="OK"/>
    <s v="OK"/>
    <s v="OK"/>
    <s v="Invalid: Ship Before Order"/>
    <n v="-3"/>
    <s v="Unique"/>
    <n v="0.2"/>
    <s v="Valid"/>
    <n v="5472.768"/>
    <x v="808"/>
    <n v="0.18188931085695575"/>
    <x v="1"/>
    <x v="1"/>
    <s v="Invalid"/>
  </r>
  <r>
    <s v="ORD-2025-10810"/>
    <d v="2025-06-25T00:00:00"/>
    <d v="2025-06-25T00:00:00"/>
    <s v="CUST-6973"/>
    <s v="Arjun Bose"/>
    <x v="1"/>
    <x v="4"/>
    <s v="Punjab"/>
    <s v="Ludhiana"/>
    <x v="0"/>
    <x v="9"/>
    <s v="Eco Binders 601"/>
    <x v="0"/>
    <n v="6"/>
    <n v="1366.13"/>
    <n v="0.1"/>
    <n v="7377.1"/>
    <n v="5085.21"/>
    <n v="2291.89"/>
    <s v="Paid"/>
    <x v="0"/>
    <s v="OK"/>
    <s v="OK"/>
    <s v="OK"/>
    <s v="OK"/>
    <n v="0"/>
    <s v="Unique"/>
    <n v="0.1"/>
    <s v="Valid"/>
    <n v="7377.1020000000008"/>
    <x v="809"/>
    <n v="0.31067646888981615"/>
    <x v="2"/>
    <x v="1"/>
    <s v="Warning"/>
  </r>
  <r>
    <s v="ORD-2024-10811"/>
    <d v="2024-04-03T00:00:00"/>
    <d v="2024-04-08T00:00:00"/>
    <s v="CUST-4653"/>
    <s v="Kabir Singh"/>
    <x v="3"/>
    <x v="3"/>
    <s v="Gujarat"/>
    <s v="Ahmedabad"/>
    <x v="2"/>
    <x v="6"/>
    <s v="Pro Copiers 867"/>
    <x v="2"/>
    <n v="1"/>
    <n v="3151.85"/>
    <n v="0.25"/>
    <n v="2363.89"/>
    <n v="1471.51"/>
    <n v="892.38"/>
    <s v="Paid"/>
    <x v="0"/>
    <s v="OK"/>
    <s v="OK"/>
    <s v="OK"/>
    <s v="OK"/>
    <n v="5"/>
    <s v="Unique"/>
    <n v="0.25"/>
    <s v="Valid"/>
    <n v="2363.8874999999998"/>
    <x v="810"/>
    <n v="0.37750421710000998"/>
    <x v="5"/>
    <x v="0"/>
    <s v="Clean"/>
  </r>
  <r>
    <s v="ORD-2024-10812"/>
    <d v="2024-12-12T00:00:00"/>
    <d v="2024-12-19T00:00:00"/>
    <s v="CUST-3303"/>
    <s v="Rohan Mehta"/>
    <x v="3"/>
    <x v="0"/>
    <s v="Haryana"/>
    <s v="Gurugram"/>
    <x v="2"/>
    <x v="5"/>
    <s v="Eco Accessories 122"/>
    <x v="2"/>
    <n v="2"/>
    <n v="1610.75"/>
    <n v="0.2"/>
    <n v="2577.1999999999998"/>
    <n v="1475.87"/>
    <n v="1101.33"/>
    <s v="Paid"/>
    <x v="0"/>
    <s v="OK"/>
    <s v="OK"/>
    <s v="OK"/>
    <s v="OK"/>
    <n v="7"/>
    <s v="Unique"/>
    <n v="0.2"/>
    <s v="Valid"/>
    <n v="2577.2000000000003"/>
    <x v="811"/>
    <n v="0.42733586838429316"/>
    <x v="8"/>
    <x v="0"/>
    <s v="Clean"/>
  </r>
  <r>
    <s v="ORD-2024-10813"/>
    <d v="2024-06-15T00:00:00"/>
    <d v="2024-06-20T00:00:00"/>
    <s v="CUST-5754"/>
    <s v="Sneha Kapoor"/>
    <x v="1"/>
    <x v="1"/>
    <s v="Jharkhand"/>
    <s v="Ranchi"/>
    <x v="1"/>
    <x v="1"/>
    <s v="Basic Tables 127"/>
    <x v="2"/>
    <n v="8"/>
    <n v="2228.4699999999998"/>
    <n v="0"/>
    <n v="17827.759999999998"/>
    <n v="14122.13"/>
    <n v="3705.63"/>
    <s v="Paid"/>
    <x v="0"/>
    <s v="OK"/>
    <s v="OK"/>
    <s v="OK"/>
    <s v="OK"/>
    <n v="5"/>
    <s v="Unique"/>
    <n v="0"/>
    <s v="Valid"/>
    <n v="17827.759999999998"/>
    <x v="812"/>
    <n v="0.20785729671029896"/>
    <x v="2"/>
    <x v="0"/>
    <s v="Clean"/>
  </r>
  <r>
    <s v="ORD-2025-10814"/>
    <d v="2025-04-06T00:00:00"/>
    <d v="2025-04-10T00:00:00"/>
    <s v="CUST-7848"/>
    <s v="Rohan Mehta"/>
    <x v="0"/>
    <x v="1"/>
    <s v="Odisha"/>
    <s v="Bhubaneswar"/>
    <x v="1"/>
    <x v="10"/>
    <s v="Elite Bookcases 988"/>
    <x v="3"/>
    <n v="2"/>
    <n v="1337.67"/>
    <n v="0"/>
    <n v="2675.34"/>
    <n v="1595.87"/>
    <n v="1079.47"/>
    <s v="Paid"/>
    <x v="0"/>
    <s v="OK"/>
    <s v="OK"/>
    <s v="OK"/>
    <s v="OK"/>
    <n v="4"/>
    <s v="Unique"/>
    <n v="0"/>
    <s v="Valid"/>
    <n v="2675.34"/>
    <x v="813"/>
    <n v="0.40348890234512258"/>
    <x v="5"/>
    <x v="1"/>
    <s v="Clean"/>
  </r>
  <r>
    <s v="ORD-2025-10815"/>
    <d v="2025-08-06T00:00:00"/>
    <d v="2025-08-11T00:00:00"/>
    <s v="CUST-9048"/>
    <s v="Arjun Bose"/>
    <x v="0"/>
    <x v="3"/>
    <s v="Madhya Pradesh"/>
    <s v="Indore"/>
    <x v="0"/>
    <x v="7"/>
    <s v="Smart Labels 126"/>
    <x v="2"/>
    <n v="2"/>
    <n v="2375.94"/>
    <n v="0.25"/>
    <n v="3563.91"/>
    <n v="2639.7"/>
    <n v="924.21"/>
    <s v="Paid"/>
    <x v="0"/>
    <s v="OK"/>
    <s v="OK"/>
    <s v="OK"/>
    <s v="OK"/>
    <n v="5"/>
    <s v="Unique"/>
    <n v="0.25"/>
    <s v="Valid"/>
    <n v="3563.91"/>
    <x v="814"/>
    <n v="0.25932473042248544"/>
    <x v="1"/>
    <x v="1"/>
    <s v="Clean"/>
  </r>
  <r>
    <s v="ORD-2024-10816"/>
    <d v="2024-04-01T00:00:00"/>
    <d v="2024-04-08T00:00:00"/>
    <s v="CUST-2951"/>
    <s v="Diya Patel"/>
    <x v="0"/>
    <x v="1"/>
    <s v="Odisha"/>
    <s v="Bhubaneswar"/>
    <x v="2"/>
    <x v="12"/>
    <s v="Max Machines 569"/>
    <x v="3"/>
    <n v="7"/>
    <n v="715.81"/>
    <n v="0.15"/>
    <n v="4259.07"/>
    <n v="3130.32"/>
    <n v="1128.75"/>
    <s v="Pending"/>
    <x v="1"/>
    <s v="OK"/>
    <s v="OK"/>
    <s v="OK"/>
    <s v="OK"/>
    <n v="7"/>
    <s v="Unique"/>
    <n v="0.15"/>
    <s v="Valid"/>
    <n v="4259.0694999999996"/>
    <x v="815"/>
    <n v="0.26502255950507486"/>
    <x v="5"/>
    <x v="0"/>
    <s v="Clean"/>
  </r>
  <r>
    <s v="ORD-2024-10817"/>
    <d v="2024-11-27T00:00:00"/>
    <d v="2024-11-30T00:00:00"/>
    <s v="CUST-3072"/>
    <s v="Rahul Verma"/>
    <x v="1"/>
    <x v="1"/>
    <s v="Jharkhand"/>
    <s v="Ranchi"/>
    <x v="1"/>
    <x v="3"/>
    <s v="Basic Furnishings 306"/>
    <x v="2"/>
    <n v="1"/>
    <n v="874.3"/>
    <n v="0.1"/>
    <n v="786.87"/>
    <n v="498.5"/>
    <n v="288.37"/>
    <s v="Paid"/>
    <x v="0"/>
    <s v="OK"/>
    <s v="OK"/>
    <s v="OK"/>
    <s v="OK"/>
    <n v="3"/>
    <s v="Unique"/>
    <n v="0.1"/>
    <s v="Valid"/>
    <n v="786.87"/>
    <x v="816"/>
    <n v="0.36647730883119195"/>
    <x v="3"/>
    <x v="0"/>
    <s v="Clean"/>
  </r>
  <r>
    <s v="ORD-2025-10818"/>
    <d v="2025-04-05T00:00:00"/>
    <d v="2025-04-05T00:00:00"/>
    <s v="CUST-2221"/>
    <s v="Sneha Kapoor"/>
    <x v="0"/>
    <x v="1"/>
    <s v="Bihar"/>
    <s v="Patna"/>
    <x v="0"/>
    <x v="9"/>
    <s v="Classic Binders 873"/>
    <x v="3"/>
    <n v="6"/>
    <n v="1829.69"/>
    <n v="0.25"/>
    <n v="8233.6"/>
    <n v="4713.79"/>
    <n v="3519.81"/>
    <s v="Paid"/>
    <x v="0"/>
    <s v="OK"/>
    <s v="OK"/>
    <s v="OK"/>
    <s v="OK"/>
    <n v="0"/>
    <s v="Unique"/>
    <n v="0.25"/>
    <s v="Valid"/>
    <n v="8233.6049999999996"/>
    <x v="817"/>
    <n v="0.42749378917254349"/>
    <x v="5"/>
    <x v="1"/>
    <s v="Clean"/>
  </r>
  <r>
    <s v="ORD-2024-10819"/>
    <d v="2024-09-29T00:00:00"/>
    <d v="2024-10-05T00:00:00"/>
    <s v="CUST-3943"/>
    <s v="Priya Menon"/>
    <x v="1"/>
    <x v="3"/>
    <s v="Maharashtra"/>
    <s v="Mumbai"/>
    <x v="0"/>
    <x v="7"/>
    <s v="Pro Labels 611"/>
    <x v="2"/>
    <n v="8"/>
    <n v="1981.04"/>
    <n v="-0.14000000000000001"/>
    <n v="12678.66"/>
    <n v="10088.65"/>
    <n v="2590.0100000000002"/>
    <s v="Paid"/>
    <x v="0"/>
    <s v="OK"/>
    <s v="OK"/>
    <s v="OK"/>
    <s v="OK"/>
    <n v="6"/>
    <s v="Unique"/>
    <n v="-0.14000000000000001"/>
    <s v="Invalid: Negative Discount"/>
    <n v="18067.084800000001"/>
    <x v="818"/>
    <n v="0.44160056192352631"/>
    <x v="7"/>
    <x v="0"/>
    <s v="Invalid"/>
  </r>
  <r>
    <s v="ORD-2024-10820"/>
    <d v="2024-07-31T00:00:00"/>
    <d v="2024-07-31T00:00:00"/>
    <s v="CUST-7510"/>
    <s v="Karan Malhotra"/>
    <x v="3"/>
    <x v="2"/>
    <s v="Kerala"/>
    <s v="Kochi"/>
    <x v="2"/>
    <x v="12"/>
    <s v="Prime Machines 524"/>
    <x v="3"/>
    <n v="8"/>
    <n v="4246.01"/>
    <n v="0"/>
    <n v="33968.080000000002"/>
    <n v="26902.44"/>
    <n v="7065.64"/>
    <s v="Failed"/>
    <x v="1"/>
    <s v="OK"/>
    <s v="OK"/>
    <s v="OK"/>
    <s v="OK"/>
    <n v="0"/>
    <s v="Unique"/>
    <n v="0"/>
    <s v="Valid"/>
    <n v="33968.080000000002"/>
    <x v="819"/>
    <n v="0.20800822419165294"/>
    <x v="0"/>
    <x v="0"/>
    <s v="Clean"/>
  </r>
  <r>
    <s v="ORD-2025-10821"/>
    <d v="2025-02-06T00:00:00"/>
    <d v="2025-02-10T00:00:00"/>
    <s v="CUST-2041"/>
    <s v="Ananya Rao"/>
    <x v="3"/>
    <x v="0"/>
    <s v="Uttar Pradesh"/>
    <s v="Noida"/>
    <x v="1"/>
    <x v="10"/>
    <s v="Classic Bookcases 882"/>
    <x v="3"/>
    <n v="2"/>
    <n v="319.57"/>
    <n v="0.2"/>
    <n v="511.31"/>
    <n v="436.43"/>
    <n v="74.88"/>
    <s v="Paid"/>
    <x v="0"/>
    <s v="OK"/>
    <s v="OK"/>
    <s v="OK"/>
    <s v="OK"/>
    <n v="4"/>
    <s v="Unique"/>
    <n v="0.2"/>
    <s v="Valid"/>
    <n v="511.31200000000001"/>
    <x v="820"/>
    <n v="0.14645069937728825"/>
    <x v="6"/>
    <x v="1"/>
    <s v="Clean"/>
  </r>
  <r>
    <s v="ORD-2024-10822"/>
    <d v="2024-07-03T00:00:00"/>
    <d v="2024-07-06T00:00:00"/>
    <s v="CUST-4466"/>
    <s v="Aarav Sharma"/>
    <x v="2"/>
    <x v="2"/>
    <s v="Karnataka"/>
    <s v="Bengaluru"/>
    <x v="2"/>
    <x v="5"/>
    <s v="Classic Accessories 471"/>
    <x v="2"/>
    <n v="7"/>
    <n v="1942.49"/>
    <n v="0.2"/>
    <n v="10877.94"/>
    <n v="9110.14"/>
    <n v="1767.8"/>
    <s v="Paid"/>
    <x v="0"/>
    <s v="OK"/>
    <s v="OK"/>
    <s v="OK"/>
    <s v="OK"/>
    <n v="3"/>
    <s v="Unique"/>
    <n v="0.2"/>
    <s v="Valid"/>
    <n v="10877.944000000001"/>
    <x v="821"/>
    <n v="0.16251269541376584"/>
    <x v="0"/>
    <x v="0"/>
    <s v="Clean"/>
  </r>
  <r>
    <s v="ORD-2024-10823"/>
    <d v="2024-10-12T00:00:00"/>
    <d v="2024-10-08T00:00:00"/>
    <s v="CUST-3188"/>
    <s v="Mira Das"/>
    <x v="2"/>
    <x v="1"/>
    <s v="Assam"/>
    <s v="Guwahati"/>
    <x v="1"/>
    <x v="3"/>
    <s v="Smart Furnishings 175"/>
    <x v="0"/>
    <n v="4"/>
    <n v="3202.04"/>
    <n v="0.2"/>
    <n v="10246.530000000001"/>
    <n v="8634.42"/>
    <n v="1612.11"/>
    <s v="Pending"/>
    <x v="2"/>
    <s v="OK"/>
    <s v="OK"/>
    <s v="OK"/>
    <s v="Invalid: Ship Before Order"/>
    <n v="-4"/>
    <s v="Unique"/>
    <n v="0.2"/>
    <s v="Valid"/>
    <n v="10246.528"/>
    <x v="822"/>
    <n v="0.15733212264681268"/>
    <x v="9"/>
    <x v="0"/>
    <s v="Invalid"/>
  </r>
  <r>
    <s v="ORD-2025-10824"/>
    <d v="2025-01-06T00:00:00"/>
    <d v="2025-01-12T00:00:00"/>
    <s v="CUST-6638"/>
    <s v="Mira Das"/>
    <x v="3"/>
    <x v="3"/>
    <s v="Goa"/>
    <s v="Panaji"/>
    <x v="0"/>
    <x v="0"/>
    <s v="Basic Paper 899"/>
    <x v="1"/>
    <n v="3"/>
    <n v="668.33"/>
    <n v="0.15"/>
    <n v="1704.24"/>
    <n v="957.55"/>
    <n v="746.69"/>
    <s v="Paid"/>
    <x v="0"/>
    <s v="OK"/>
    <s v="OK"/>
    <s v="OK"/>
    <s v="OK"/>
    <n v="6"/>
    <s v="Unique"/>
    <n v="0.15"/>
    <s v="Valid"/>
    <n v="1704.2415000000001"/>
    <x v="823"/>
    <n v="0.43813714194848563"/>
    <x v="10"/>
    <x v="1"/>
    <s v="Clean"/>
  </r>
  <r>
    <s v="ORD-2025-10825"/>
    <d v="2025-03-21T00:00:00"/>
    <d v="2025-03-22T00:00:00"/>
    <s v="CUST-3540"/>
    <s v="Priya Menon"/>
    <x v="0"/>
    <x v="3"/>
    <s v="Goa"/>
    <s v="Panaji"/>
    <x v="0"/>
    <x v="0"/>
    <s v="Pro Paper 267"/>
    <x v="2"/>
    <n v="8"/>
    <n v="4436.74"/>
    <n v="0.05"/>
    <n v="33719.22"/>
    <n v="28924.43"/>
    <n v="4794.79"/>
    <s v="Paid"/>
    <x v="0"/>
    <s v="OK"/>
    <s v="OK"/>
    <s v="OK"/>
    <s v="OK"/>
    <n v="1"/>
    <s v="Unique"/>
    <n v="0.05"/>
    <s v="Valid"/>
    <n v="33719.223999999995"/>
    <x v="824"/>
    <n v="0.14219763776295669"/>
    <x v="11"/>
    <x v="1"/>
    <s v="Clean"/>
  </r>
  <r>
    <s v="ORD-2025-10826"/>
    <d v="2025-04-16T00:00:00"/>
    <d v="2025-04-17T00:00:00"/>
    <s v="CUST-3351"/>
    <s v="Vikram Iyer"/>
    <x v="1"/>
    <x v="0"/>
    <s v="Uttar Pradesh"/>
    <s v="Noida"/>
    <x v="2"/>
    <x v="12"/>
    <s v="Basic Machines 832"/>
    <x v="2"/>
    <n v="1"/>
    <n v="2720.17"/>
    <n v="0"/>
    <n v="2720.17"/>
    <n v="1834.23"/>
    <n v="885.94"/>
    <s v="Paid"/>
    <x v="0"/>
    <s v="OK"/>
    <s v="OK"/>
    <s v="OK"/>
    <s v="OK"/>
    <n v="1"/>
    <s v="Unique"/>
    <n v="0"/>
    <s v="Valid"/>
    <n v="2720.17"/>
    <x v="825"/>
    <n v="0.3256928794891496"/>
    <x v="5"/>
    <x v="1"/>
    <s v="Clean"/>
  </r>
  <r>
    <s v="ORD-2025-10827"/>
    <d v="2025-08-10T00:00:00"/>
    <d v="2025-08-14T00:00:00"/>
    <s v="CUST-4375"/>
    <s v="Aditi Sen"/>
    <x v="0"/>
    <x v="3"/>
    <s v="Rajasthan"/>
    <s v="Udaipur"/>
    <x v="2"/>
    <x v="5"/>
    <s v="Elite Accessories 790"/>
    <x v="3"/>
    <n v="5"/>
    <n v="2190.14"/>
    <n v="0.25"/>
    <n v="8213.02"/>
    <n v="5569.3"/>
    <n v="2643.72"/>
    <s v="Paid"/>
    <x v="0"/>
    <s v="OK"/>
    <s v="OK"/>
    <s v="OK"/>
    <s v="OK"/>
    <n v="4"/>
    <s v="Unique"/>
    <n v="0.25"/>
    <s v="Valid"/>
    <n v="8213.0249999999996"/>
    <x v="826"/>
    <n v="0.32189418636860345"/>
    <x v="1"/>
    <x v="1"/>
    <s v="Clean"/>
  </r>
  <r>
    <s v="ORD-2024-10828"/>
    <d v="2024-11-24T00:00:00"/>
    <d v="2024-12-01T00:00:00"/>
    <s v="CUST-5125"/>
    <s v="Priya Menon"/>
    <x v="3"/>
    <x v="2"/>
    <s v="Tamil Nadu"/>
    <s v="Chennai"/>
    <x v="0"/>
    <x v="0"/>
    <s v="Basic Paper 707"/>
    <x v="1"/>
    <n v="1"/>
    <n v="844.89"/>
    <n v="0.25"/>
    <n v="633.66999999999996"/>
    <n v="520.47"/>
    <n v="113.2"/>
    <s v="Paid"/>
    <x v="1"/>
    <s v="OK"/>
    <s v="OK"/>
    <s v="OK"/>
    <s v="OK"/>
    <n v="7"/>
    <s v="Unique"/>
    <n v="0.25"/>
    <s v="Valid"/>
    <n v="633.66750000000002"/>
    <x v="827"/>
    <n v="0.17863863934950111"/>
    <x v="3"/>
    <x v="0"/>
    <s v="Clean"/>
  </r>
  <r>
    <s v="ORD-2025-10829"/>
    <d v="2025-10-10T00:00:00"/>
    <d v="2025-10-11T00:00:00"/>
    <s v="CUST-6010"/>
    <s v="Karan Malhotra"/>
    <x v="2"/>
    <x v="1"/>
    <s v="Odisha"/>
    <s v="Bhubaneswar"/>
    <x v="1"/>
    <x v="4"/>
    <s v="Elite Chairs 979"/>
    <x v="0"/>
    <n v="7"/>
    <n v="3791.96"/>
    <n v="0.05"/>
    <n v="25216.53"/>
    <n v="14216.94"/>
    <n v="10999.59"/>
    <s v="Failed"/>
    <x v="1"/>
    <s v="OK"/>
    <s v="OK"/>
    <s v="OK"/>
    <s v="OK"/>
    <n v="1"/>
    <s v="Unique"/>
    <n v="0.05"/>
    <s v="Valid"/>
    <n v="25216.534"/>
    <x v="828"/>
    <n v="0.4362056260388521"/>
    <x v="9"/>
    <x v="1"/>
    <s v="Clean"/>
  </r>
  <r>
    <s v="ORD-2024-10830"/>
    <d v="2024-02-26T00:00:00"/>
    <d v="2024-02-28T00:00:00"/>
    <s v="CUST-9036"/>
    <s v="Aditi Sen"/>
    <x v="1"/>
    <x v="3"/>
    <s v="Goa"/>
    <s v="Panaji"/>
    <x v="1"/>
    <x v="3"/>
    <s v="Pro Furnishings 192"/>
    <x v="0"/>
    <n v="7"/>
    <n v="1035.1400000000001"/>
    <n v="0.1"/>
    <n v="6521.38"/>
    <n v="4511.1000000000004"/>
    <n v="2010.28"/>
    <s v="Paid"/>
    <x v="0"/>
    <s v="OK"/>
    <s v="OK"/>
    <s v="OK"/>
    <s v="OK"/>
    <n v="2"/>
    <s v="Unique"/>
    <n v="0.1"/>
    <s v="Valid"/>
    <n v="6521.3820000000005"/>
    <x v="829"/>
    <n v="0.30826012032418892"/>
    <x v="6"/>
    <x v="0"/>
    <s v="Clean"/>
  </r>
  <r>
    <s v="ORD-2025-10831"/>
    <d v="2025-07-15T00:00:00"/>
    <d v="2025-07-18T00:00:00"/>
    <s v="CUST-7929"/>
    <s v="Aditi Sen"/>
    <x v="1"/>
    <x v="4"/>
    <s v="Tamil Nadu"/>
    <s v="Chennai"/>
    <x v="2"/>
    <x v="12"/>
    <s v="Smart Machines 951"/>
    <x v="2"/>
    <n v="6"/>
    <n v="2382.88"/>
    <n v="0.1"/>
    <n v="12867.55"/>
    <n v="10068.94"/>
    <n v="2798.61"/>
    <s v="Paid"/>
    <x v="0"/>
    <s v="OK"/>
    <s v="OK"/>
    <s v="OK"/>
    <s v="OK"/>
    <n v="3"/>
    <s v="Unique"/>
    <n v="0.1"/>
    <s v="Valid"/>
    <n v="12867.552000000001"/>
    <x v="830"/>
    <n v="0.21749373929089236"/>
    <x v="0"/>
    <x v="1"/>
    <s v="Warning"/>
  </r>
  <r>
    <s v="ORD-2025-10832"/>
    <d v="2025-04-03T00:00:00"/>
    <d v="2025-04-03T00:00:00"/>
    <s v="CUST-1106"/>
    <s v="Diya Patel"/>
    <x v="3"/>
    <x v="4"/>
    <s v="Haryana"/>
    <s v="Gurugram"/>
    <x v="1"/>
    <x v="4"/>
    <s v="Smart Chairs 794"/>
    <x v="2"/>
    <n v="9"/>
    <n v="3462.7"/>
    <n v="0.15"/>
    <n v="26489.65"/>
    <n v="15818.46"/>
    <n v="10671.19"/>
    <s v="Failed"/>
    <x v="2"/>
    <s v="OK"/>
    <s v="OK"/>
    <s v="OK"/>
    <s v="OK"/>
    <n v="0"/>
    <s v="Unique"/>
    <n v="0.15"/>
    <s v="Valid"/>
    <n v="26489.654999999999"/>
    <x v="831"/>
    <n v="0.40284386489744772"/>
    <x v="5"/>
    <x v="1"/>
    <s v="Warning"/>
  </r>
  <r>
    <s v="ORD-2025-10833"/>
    <d v="2025-05-26T00:00:00"/>
    <d v="2025-05-28T00:00:00"/>
    <s v="CUST-9557"/>
    <s v="Kabir Singh"/>
    <x v="1"/>
    <x v="2"/>
    <s v="Andhra Pradesh"/>
    <s v="Vijayawada"/>
    <x v="2"/>
    <x v="11"/>
    <s v="Max Phones 919"/>
    <x v="0"/>
    <n v="9"/>
    <n v="4302.0200000000004"/>
    <n v="0.05"/>
    <n v="36782.269999999997"/>
    <n v="25902.81"/>
    <n v="10879.46"/>
    <s v="Paid"/>
    <x v="0"/>
    <s v="OK"/>
    <s v="OK"/>
    <s v="OK"/>
    <s v="OK"/>
    <n v="2"/>
    <s v="Unique"/>
    <n v="0.05"/>
    <s v="Valid"/>
    <n v="36782.271000000008"/>
    <x v="832"/>
    <n v="0.29578002402298664"/>
    <x v="4"/>
    <x v="1"/>
    <s v="Clean"/>
  </r>
  <r>
    <s v="ORD-2024-10834"/>
    <d v="2024-06-04T00:00:00"/>
    <d v="2024-06-04T00:00:00"/>
    <s v="CUST-2689"/>
    <s v="Rahul Verma"/>
    <x v="3"/>
    <x v="1"/>
    <s v="West Bengal"/>
    <s v="Kolkata"/>
    <x v="1"/>
    <x v="10"/>
    <s v="Basic Bookcases 499"/>
    <x v="2"/>
    <n v="6"/>
    <n v="3949.4"/>
    <n v="0"/>
    <n v="23696.400000000001"/>
    <n v="18109.77"/>
    <n v="5586.63"/>
    <s v="Paid"/>
    <x v="0"/>
    <s v="OK"/>
    <s v="OK"/>
    <s v="OK"/>
    <s v="OK"/>
    <n v="0"/>
    <s v="Unique"/>
    <n v="0"/>
    <s v="Valid"/>
    <n v="23696.400000000001"/>
    <x v="833"/>
    <n v="0.23575859624246723"/>
    <x v="2"/>
    <x v="0"/>
    <s v="Clean"/>
  </r>
  <r>
    <s v="ORD-2024-10835"/>
    <d v="2024-10-18T00:00:00"/>
    <d v="2024-10-22T00:00:00"/>
    <s v="CUST-2879"/>
    <s v="Aarav Sharma"/>
    <x v="3"/>
    <x v="2"/>
    <s v="Telangana"/>
    <s v="Hyderabad"/>
    <x v="0"/>
    <x v="2"/>
    <s v="Basic Art 143"/>
    <x v="2"/>
    <n v="6"/>
    <n v="674.61"/>
    <n v="0"/>
    <n v="4047.66"/>
    <n v="3078.93"/>
    <n v="1279.79"/>
    <s v="Paid"/>
    <x v="0"/>
    <s v="OK"/>
    <s v="OK"/>
    <s v="OK"/>
    <s v="OK"/>
    <n v="4"/>
    <s v="Unique"/>
    <n v="0"/>
    <s v="Valid"/>
    <n v="4047.66"/>
    <x v="834"/>
    <n v="0.23933087265234729"/>
    <x v="9"/>
    <x v="0"/>
    <s v="Clean"/>
  </r>
  <r>
    <s v="ORD-2025-10836"/>
    <d v="2025-09-26T00:00:00"/>
    <d v="2025-10-04T00:00:00"/>
    <s v="CUST-5150"/>
    <s v="Priya Menon"/>
    <x v="1"/>
    <x v="1"/>
    <s v="Assam"/>
    <s v="Guwahati"/>
    <x v="2"/>
    <x v="11"/>
    <s v="Prime Phones 338"/>
    <x v="0"/>
    <n v="7"/>
    <n v="1509.59"/>
    <n v="0.05"/>
    <n v="10038.77"/>
    <n v="5673.1"/>
    <n v="4365.67"/>
    <s v="Paid"/>
    <x v="0"/>
    <s v="OK"/>
    <s v="OK"/>
    <s v="OK"/>
    <s v="OK"/>
    <n v="8"/>
    <s v="Unique"/>
    <n v="0.05"/>
    <s v="Valid"/>
    <n v="10038.773499999999"/>
    <x v="835"/>
    <n v="0.43488116352062323"/>
    <x v="7"/>
    <x v="1"/>
    <s v="Clean"/>
  </r>
  <r>
    <s v="ORD-2024-10837"/>
    <d v="2024-12-15T00:00:00"/>
    <d v="2024-12-18T00:00:00"/>
    <s v="CUST-9776"/>
    <s v="Isha Nair"/>
    <x v="1"/>
    <x v="0"/>
    <s v="Rajasthan"/>
    <s v="Jaipur"/>
    <x v="0"/>
    <x v="7"/>
    <s v="Smart Labels 814"/>
    <x v="0"/>
    <n v="2"/>
    <n v="537.11"/>
    <n v="0"/>
    <n v="1074.22"/>
    <n v="850.86"/>
    <n v="223.36"/>
    <s v="Paid"/>
    <x v="0"/>
    <s v="OK"/>
    <s v="OK"/>
    <s v="OK"/>
    <s v="OK"/>
    <n v="3"/>
    <s v="Unique"/>
    <n v="0"/>
    <s v="Valid"/>
    <n v="1074.22"/>
    <x v="836"/>
    <n v="0.20792761259332354"/>
    <x v="8"/>
    <x v="0"/>
    <s v="Clean"/>
  </r>
  <r>
    <s v="ORD-2025-10838"/>
    <d v="2025-09-27T00:00:00"/>
    <d v="2025-09-28T00:00:00"/>
    <s v="CUST-2551"/>
    <s v="Karan Malhotra"/>
    <x v="3"/>
    <x v="3"/>
    <s v="Maharashtra"/>
    <s v="Mumbai"/>
    <x v="0"/>
    <x v="0"/>
    <s v="Prime Paper 812"/>
    <x v="2"/>
    <n v="3"/>
    <n v="4177.63"/>
    <n v="0.25"/>
    <n v="9399.67"/>
    <n v="6540.37"/>
    <n v="2859.3"/>
    <s v="Paid"/>
    <x v="0"/>
    <s v="OK"/>
    <s v="OK"/>
    <s v="OK"/>
    <s v="OK"/>
    <n v="1"/>
    <s v="Unique"/>
    <n v="0.25"/>
    <s v="Valid"/>
    <n v="9399.6674999999996"/>
    <x v="837"/>
    <n v="0.30419134506619516"/>
    <x v="7"/>
    <x v="1"/>
    <s v="Clean"/>
  </r>
  <r>
    <s v="ORD-2025-10839"/>
    <d v="2025-04-03T00:00:00"/>
    <d v="2025-04-07T00:00:00"/>
    <s v="CUST-4708"/>
    <s v="Ananya Rao"/>
    <x v="1"/>
    <x v="3"/>
    <s v="Goa"/>
    <s v="Panaji"/>
    <x v="0"/>
    <x v="0"/>
    <s v="Pro Paper 355"/>
    <x v="1"/>
    <n v="1"/>
    <n v="1470.57"/>
    <n v="0"/>
    <n v="1470.57"/>
    <n v="834.02"/>
    <n v="636.54999999999995"/>
    <s v="Paid"/>
    <x v="2"/>
    <s v="OK"/>
    <s v="OK"/>
    <s v="OK"/>
    <s v="OK"/>
    <n v="4"/>
    <s v="Unique"/>
    <n v="0"/>
    <s v="Valid"/>
    <n v="1470.57"/>
    <x v="838"/>
    <n v="0.43285936745615644"/>
    <x v="5"/>
    <x v="1"/>
    <s v="Clean"/>
  </r>
  <r>
    <s v="ORD-2024-10840"/>
    <d v="2024-09-20T00:00:00"/>
    <d v="2024-09-22T00:00:00"/>
    <s v="CUST-8206"/>
    <s v="Rohan Mehta"/>
    <x v="3"/>
    <x v="1"/>
    <s v="Odisha"/>
    <s v="Bhubaneswar"/>
    <x v="2"/>
    <x v="11"/>
    <s v="Basic Phones 398"/>
    <x v="3"/>
    <n v="8"/>
    <n v="531.42999999999995"/>
    <n v="0.1"/>
    <n v="3826.3"/>
    <n v="2194.12"/>
    <n v="1632.18"/>
    <s v="Paid"/>
    <x v="0"/>
    <s v="OK"/>
    <s v="OK"/>
    <s v="OK"/>
    <s v="OK"/>
    <n v="2"/>
    <s v="Unique"/>
    <n v="0.1"/>
    <s v="Valid"/>
    <n v="3826.2959999999998"/>
    <x v="839"/>
    <n v="0.42656814841298218"/>
    <x v="7"/>
    <x v="0"/>
    <s v="Clean"/>
  </r>
  <r>
    <s v="ORD-2025-10841"/>
    <d v="2025-09-19T00:00:00"/>
    <d v="2025-09-19T00:00:00"/>
    <s v="CUST-1297"/>
    <s v="Neha Gupta"/>
    <x v="3"/>
    <x v="0"/>
    <s v="Delhi"/>
    <s v="New Delhi"/>
    <x v="1"/>
    <x v="4"/>
    <s v="Classic Chairs 204"/>
    <x v="1"/>
    <n v="4"/>
    <n v="1584.11"/>
    <n v="0"/>
    <n v="6336.44"/>
    <n v="4680.68"/>
    <n v="1655.76"/>
    <s v="Paid"/>
    <x v="0"/>
    <s v="OK"/>
    <s v="OK"/>
    <s v="OK"/>
    <s v="OK"/>
    <n v="0"/>
    <s v="Unique"/>
    <n v="0"/>
    <s v="Valid"/>
    <n v="6336.44"/>
    <x v="840"/>
    <n v="0.26130761121386764"/>
    <x v="7"/>
    <x v="1"/>
    <s v="Clean"/>
  </r>
  <r>
    <s v="ORD-2025-10842"/>
    <d v="2025-02-06T00:00:00"/>
    <d v="2025-02-12T00:00:00"/>
    <s v="CUST-7558"/>
    <s v="Ananya Rao"/>
    <x v="1"/>
    <x v="1"/>
    <s v="Bihar"/>
    <s v="Patna"/>
    <x v="0"/>
    <x v="2"/>
    <s v="Max Art 339"/>
    <x v="3"/>
    <n v="9"/>
    <n v="3237.16"/>
    <n v="0.25"/>
    <n v="21850.83"/>
    <n v="16600.13"/>
    <n v="5250.7"/>
    <s v="Paid"/>
    <x v="0"/>
    <s v="OK"/>
    <s v="OK"/>
    <s v="OK"/>
    <s v="OK"/>
    <n v="6"/>
    <s v="Unique"/>
    <n v="0.25"/>
    <s v="Valid"/>
    <n v="21850.829999999998"/>
    <x v="841"/>
    <n v="0.2402975081495759"/>
    <x v="6"/>
    <x v="1"/>
    <s v="Clean"/>
  </r>
  <r>
    <s v="ORD-2024-10843"/>
    <d v="2024-03-31T00:00:00"/>
    <d v="2024-03-30T00:00:00"/>
    <s v="CUST-1798"/>
    <s v="Kabir Singh"/>
    <x v="0"/>
    <x v="0"/>
    <s v="Haryana"/>
    <s v="Gurugram"/>
    <x v="2"/>
    <x v="12"/>
    <s v="Smart Machines 581"/>
    <x v="2"/>
    <n v="4"/>
    <n v="2192.08"/>
    <n v="0.15"/>
    <n v="7453.07"/>
    <n v="5133.78"/>
    <n v="2319.29"/>
    <s v="Paid"/>
    <x v="2"/>
    <s v="OK"/>
    <s v="OK"/>
    <s v="OK"/>
    <s v="Invalid: Ship Before Order"/>
    <n v="-1"/>
    <s v="Unique"/>
    <n v="0.15"/>
    <s v="Valid"/>
    <n v="7453.0719999999992"/>
    <x v="842"/>
    <n v="0.31118604516365866"/>
    <x v="11"/>
    <x v="0"/>
    <s v="Invalid"/>
  </r>
  <r>
    <s v="ORD-2025-10844"/>
    <d v="2025-07-18T00:00:00"/>
    <d v="2025-07-25T00:00:00"/>
    <s v="CUST-7333"/>
    <s v="Priya Menon"/>
    <x v="1"/>
    <x v="0"/>
    <s v="Uttar Pradesh"/>
    <s v="Noida"/>
    <x v="2"/>
    <x v="11"/>
    <s v="Prime Phones 482"/>
    <x v="2"/>
    <n v="9"/>
    <n v="3989.52"/>
    <n v="-0.02"/>
    <n v="35905.68"/>
    <n v="23916.1"/>
    <n v="11989.58"/>
    <s v="Paid"/>
    <x v="0"/>
    <s v="OK"/>
    <s v="OK"/>
    <s v="OK"/>
    <s v="OK"/>
    <n v="7"/>
    <s v="Unique"/>
    <n v="-0.02"/>
    <s v="Invalid: Negative Discount"/>
    <n v="36623.793600000005"/>
    <x v="843"/>
    <n v="0.34697917257812433"/>
    <x v="0"/>
    <x v="1"/>
    <s v="Invalid"/>
  </r>
  <r>
    <s v="ORD-2025-10845"/>
    <d v="2025-01-20T00:00:00"/>
    <d v="2025-01-25T00:00:00"/>
    <s v="CUST-2086"/>
    <s v="Aditi Sen"/>
    <x v="3"/>
    <x v="3"/>
    <s v="Goa"/>
    <s v="Panaji"/>
    <x v="0"/>
    <x v="2"/>
    <s v="Pro Art 588"/>
    <x v="2"/>
    <n v="1"/>
    <n v="3515.15"/>
    <n v="0"/>
    <n v="3515.15"/>
    <n v="2216.34"/>
    <n v="1298.81"/>
    <s v="Paid"/>
    <x v="0"/>
    <s v="OK"/>
    <s v="OK"/>
    <s v="OK"/>
    <s v="OK"/>
    <n v="5"/>
    <s v="Unique"/>
    <n v="0"/>
    <s v="Valid"/>
    <n v="3515.15"/>
    <x v="844"/>
    <n v="0.36948921098672882"/>
    <x v="10"/>
    <x v="1"/>
    <s v="Clean"/>
  </r>
  <r>
    <s v="ORD-2024-10846"/>
    <d v="2024-02-23T00:00:00"/>
    <d v="2024-02-27T00:00:00"/>
    <s v="CUST-2367"/>
    <s v="Karan Malhotra"/>
    <x v="0"/>
    <x v="1"/>
    <s v="Odisha"/>
    <s v="Bhubaneswar"/>
    <x v="1"/>
    <x v="1"/>
    <s v="Eco Tables 792"/>
    <x v="2"/>
    <n v="9"/>
    <n v="3616.23"/>
    <n v="0.25"/>
    <n v="24409.55"/>
    <n v="17157.580000000002"/>
    <n v="7251.97"/>
    <s v="Pending"/>
    <x v="2"/>
    <s v="OK"/>
    <s v="OK"/>
    <s v="OK"/>
    <s v="OK"/>
    <n v="4"/>
    <s v="Unique"/>
    <n v="0.25"/>
    <s v="Valid"/>
    <n v="24409.552499999998"/>
    <x v="845"/>
    <n v="0.29709567596538267"/>
    <x v="6"/>
    <x v="0"/>
    <s v="Clean"/>
  </r>
  <r>
    <s v="ORD-2024-10847"/>
    <d v="2024-04-14T00:00:00"/>
    <d v="2024-04-22T00:00:00"/>
    <s v="CUST-6522"/>
    <s v="Priya Menon"/>
    <x v="1"/>
    <x v="3"/>
    <s v="Gujarat"/>
    <s v="Ahmedabad"/>
    <x v="1"/>
    <x v="10"/>
    <s v="Prime Bookcases 177"/>
    <x v="3"/>
    <n v="2"/>
    <n v="3977.52"/>
    <n v="0"/>
    <n v="7955.04"/>
    <n v="5580.68"/>
    <n v="2374.36"/>
    <s v="Pending"/>
    <x v="2"/>
    <s v="OK"/>
    <s v="OK"/>
    <s v="OK"/>
    <s v="OK"/>
    <n v="8"/>
    <s v="Unique"/>
    <n v="0"/>
    <s v="Valid"/>
    <n v="7955.04"/>
    <x v="846"/>
    <n v="0.29847241497214339"/>
    <x v="5"/>
    <x v="0"/>
    <s v="Clean"/>
  </r>
  <r>
    <s v="ORD-2025-10848"/>
    <d v="2025-05-20T00:00:00"/>
    <d v="2025-05-22T00:00:00"/>
    <s v="CUST-8329"/>
    <s v="Diya Patel"/>
    <x v="3"/>
    <x v="1"/>
    <s v="Odisha"/>
    <s v="Bhubaneswar"/>
    <x v="1"/>
    <x v="1"/>
    <s v="Pro Tables 828"/>
    <x v="0"/>
    <n v="2"/>
    <n v="210.08"/>
    <n v="0.2"/>
    <n v="336.13"/>
    <n v="242.19"/>
    <n v="93.94"/>
    <s v="Paid"/>
    <x v="0"/>
    <s v="OK"/>
    <s v="OK"/>
    <s v="OK"/>
    <s v="OK"/>
    <n v="2"/>
    <s v="Unique"/>
    <n v="0.2"/>
    <s v="Valid"/>
    <n v="336.12800000000004"/>
    <x v="847"/>
    <n v="0.27947091584158423"/>
    <x v="4"/>
    <x v="1"/>
    <s v="Clean"/>
  </r>
  <r>
    <s v="ORD-2025-10849"/>
    <d v="2025-05-27T00:00:00"/>
    <d v="2025-05-29T00:00:00"/>
    <s v="CUST-4426"/>
    <s v="Rahul Verma"/>
    <x v="3"/>
    <x v="2"/>
    <s v="Tamil Nadu"/>
    <s v="Chennai"/>
    <x v="1"/>
    <x v="3"/>
    <s v="Elite Furnishings 480"/>
    <x v="0"/>
    <n v="1"/>
    <n v="1744.35"/>
    <n v="0.25"/>
    <n v="1308.26"/>
    <n v="1083.56"/>
    <n v="224.7"/>
    <s v="Paid"/>
    <x v="0"/>
    <s v="OK"/>
    <s v="OK"/>
    <s v="OK"/>
    <s v="OK"/>
    <n v="2"/>
    <s v="Unique"/>
    <n v="0.25"/>
    <s v="Valid"/>
    <n v="1308.2624999999998"/>
    <x v="848"/>
    <n v="0.17175643267310645"/>
    <x v="4"/>
    <x v="1"/>
    <s v="Clean"/>
  </r>
  <r>
    <s v="ORD-2024-10850"/>
    <d v="2024-03-06T00:00:00"/>
    <d v="2024-03-12T00:00:00"/>
    <s v="CUST-3360"/>
    <s v="Isha Nair"/>
    <x v="3"/>
    <x v="3"/>
    <s v="Gujarat"/>
    <s v="Ahmedabad"/>
    <x v="1"/>
    <x v="10"/>
    <s v="Prime Bookcases 755"/>
    <x v="3"/>
    <n v="3"/>
    <n v="679.63"/>
    <n v="0.2"/>
    <n v="1631.11"/>
    <n v="898.73"/>
    <n v="396.58"/>
    <s v="Paid"/>
    <x v="0"/>
    <s v="OK"/>
    <s v="OK"/>
    <s v="OK"/>
    <s v="OK"/>
    <n v="6"/>
    <s v="Unique"/>
    <n v="0.2"/>
    <s v="Valid"/>
    <n v="1631.1120000000001"/>
    <x v="849"/>
    <n v="0.44900779345624336"/>
    <x v="11"/>
    <x v="0"/>
    <s v="Clean"/>
  </r>
  <r>
    <s v="ORD-2024-10851"/>
    <d v="2024-06-30T00:00:00"/>
    <d v="2024-07-03T00:00:00"/>
    <s v="CUST-2623"/>
    <s v="Priya Menon"/>
    <x v="3"/>
    <x v="1"/>
    <s v="West Bengal"/>
    <s v="Kolkata"/>
    <x v="0"/>
    <x v="0"/>
    <s v="Prime Paper 317"/>
    <x v="2"/>
    <n v="6"/>
    <n v="1211.01"/>
    <n v="0"/>
    <n v="7266.06"/>
    <n v="6216.89"/>
    <n v="1049.17"/>
    <s v="Paid"/>
    <x v="0"/>
    <s v="OK"/>
    <s v="OK"/>
    <s v="OK"/>
    <s v="OK"/>
    <n v="3"/>
    <s v="Unique"/>
    <n v="0"/>
    <s v="Valid"/>
    <n v="7266.0599999999995"/>
    <x v="850"/>
    <n v="0.14439324750965438"/>
    <x v="2"/>
    <x v="0"/>
    <s v="Clean"/>
  </r>
  <r>
    <s v="ORD-2024-10852"/>
    <d v="2024-03-26T00:00:00"/>
    <d v="2024-04-01T00:00:00"/>
    <s v="CUST-3175"/>
    <s v="Karan Malhotra"/>
    <x v="1"/>
    <x v="3"/>
    <s v="Gujarat"/>
    <s v="Ahmedabad"/>
    <x v="2"/>
    <x v="5"/>
    <s v="Classic Accessories 933"/>
    <x v="2"/>
    <n v="2"/>
    <n v="1161.3"/>
    <n v="0.2"/>
    <n v="1858.08"/>
    <n v="1590.75"/>
    <n v="267.33"/>
    <s v="Paid"/>
    <x v="0"/>
    <s v="OK"/>
    <s v="OK"/>
    <s v="OK"/>
    <s v="OK"/>
    <n v="6"/>
    <s v="Unique"/>
    <n v="0.2"/>
    <s v="Valid"/>
    <n v="1858.08"/>
    <x v="851"/>
    <n v="0.14387432188065097"/>
    <x v="11"/>
    <x v="0"/>
    <s v="Clean"/>
  </r>
  <r>
    <s v="ORD-2024-10853"/>
    <d v="2024-04-01T00:00:00"/>
    <d v="2024-04-08T00:00:00"/>
    <s v="CUST-9630"/>
    <s v="Ananya Rao"/>
    <x v="0"/>
    <x v="1"/>
    <s v="Assam"/>
    <s v="Guwahati"/>
    <x v="1"/>
    <x v="1"/>
    <s v="Smart Tables 513"/>
    <x v="0"/>
    <n v="7"/>
    <n v="4205.3500000000004"/>
    <n v="0.15"/>
    <n v="25021.83"/>
    <n v="15544.44"/>
    <n v="9477.39"/>
    <s v="Pending"/>
    <x v="1"/>
    <s v="OK"/>
    <s v="OK"/>
    <s v="OK"/>
    <s v="OK"/>
    <n v="7"/>
    <s v="Unique"/>
    <n v="0.15"/>
    <s v="Valid"/>
    <n v="25021.832500000004"/>
    <x v="852"/>
    <n v="0.37876492459135447"/>
    <x v="5"/>
    <x v="0"/>
    <s v="Clean"/>
  </r>
  <r>
    <s v="ORD-2025-10854"/>
    <d v="2025-05-16T00:00:00"/>
    <d v="2025-05-22T00:00:00"/>
    <s v="CUST-8274"/>
    <s v="Arjun Bose"/>
    <x v="2"/>
    <x v="2"/>
    <s v="Tamil Nadu"/>
    <s v="Chennai"/>
    <x v="2"/>
    <x v="5"/>
    <s v="Elite Accessories 708"/>
    <x v="1"/>
    <n v="8"/>
    <n v="579.79999999999995"/>
    <n v="0.2"/>
    <n v="3710.72"/>
    <n v="3115.29"/>
    <n v="595.42999999999995"/>
    <s v="Paid"/>
    <x v="0"/>
    <s v="OK"/>
    <s v="OK"/>
    <s v="OK"/>
    <s v="OK"/>
    <n v="6"/>
    <s v="Unique"/>
    <n v="0.2"/>
    <s v="Valid"/>
    <n v="3710.72"/>
    <x v="853"/>
    <n v="0.16046212055881334"/>
    <x v="4"/>
    <x v="1"/>
    <s v="Clean"/>
  </r>
  <r>
    <s v="ORD-2025-10855"/>
    <d v="2025-03-25T00:00:00"/>
    <d v="2025-04-02T00:00:00"/>
    <s v="CUST-2514"/>
    <s v="Priya Menon"/>
    <x v="0"/>
    <x v="2"/>
    <s v="Karnataka"/>
    <s v="Bengaluru"/>
    <x v="1"/>
    <x v="10"/>
    <s v="Max Bookcases 381"/>
    <x v="0"/>
    <n v="4"/>
    <n v="2233.64"/>
    <n v="0.05"/>
    <n v="8487.83"/>
    <n v="5245.72"/>
    <n v="3242.11"/>
    <s v="Paid"/>
    <x v="0"/>
    <s v="OK"/>
    <s v="OK"/>
    <s v="OK"/>
    <s v="OK"/>
    <n v="8"/>
    <s v="Unique"/>
    <n v="0.05"/>
    <s v="Valid"/>
    <n v="8487.8319999999985"/>
    <x v="854"/>
    <n v="0.38197174496384928"/>
    <x v="11"/>
    <x v="1"/>
    <s v="Clean"/>
  </r>
  <r>
    <s v="ORD-2024-10856"/>
    <d v="2024-07-25T00:00:00"/>
    <d v="2024-08-02T00:00:00"/>
    <s v="CUST-2752"/>
    <s v="Rahul Verma"/>
    <x v="0"/>
    <x v="0"/>
    <s v="Rajasthan"/>
    <s v="Jaipur"/>
    <x v="0"/>
    <x v="7"/>
    <s v="Classic Labels 215"/>
    <x v="0"/>
    <n v="2"/>
    <n v="2073.5300000000002"/>
    <n v="0.25"/>
    <n v="3110.3"/>
    <n v="2101.0300000000002"/>
    <n v="1009.27"/>
    <s v="Paid"/>
    <x v="0"/>
    <s v="OK"/>
    <s v="OK"/>
    <s v="OK"/>
    <s v="OK"/>
    <n v="8"/>
    <s v="Unique"/>
    <n v="0.25"/>
    <s v="Valid"/>
    <n v="3110.2950000000001"/>
    <x v="855"/>
    <n v="0.32449172827657824"/>
    <x v="0"/>
    <x v="0"/>
    <s v="Clean"/>
  </r>
  <r>
    <s v="ORD-2024-10857"/>
    <d v="2024-06-12T00:00:00"/>
    <d v="2024-06-19T00:00:00"/>
    <s v="CUST-5647"/>
    <s v="Rohan Mehta"/>
    <x v="3"/>
    <x v="2"/>
    <s v="Tamil Nadu"/>
    <s v="Chennai"/>
    <x v="0"/>
    <x v="8"/>
    <s v="Classic Storage 918"/>
    <x v="3"/>
    <n v="4"/>
    <n v="395.1"/>
    <n v="-0.16"/>
    <n v="1185.3"/>
    <n v="966.55"/>
    <n v="218.75"/>
    <s v="Failed"/>
    <x v="1"/>
    <s v="OK"/>
    <s v="OK"/>
    <s v="OK"/>
    <s v="OK"/>
    <n v="7"/>
    <s v="Unique"/>
    <n v="-0.16"/>
    <s v="Invalid: Negative Discount"/>
    <n v="1833.2639999999999"/>
    <x v="856"/>
    <n v="0.47277097024760206"/>
    <x v="2"/>
    <x v="0"/>
    <s v="Invalid"/>
  </r>
  <r>
    <s v="ORD-2024-10858"/>
    <d v="2024-06-04T00:00:00"/>
    <d v="2024-06-04T00:00:00"/>
    <s v="CUST-8575"/>
    <s v="Sneha Kapoor"/>
    <x v="3"/>
    <x v="2"/>
    <s v="Kerala"/>
    <s v="Kochi"/>
    <x v="0"/>
    <x v="8"/>
    <s v="Max Storage 223"/>
    <x v="2"/>
    <n v="6"/>
    <n v="2708.97"/>
    <n v="0.25"/>
    <n v="12190.36"/>
    <n v="10176.99"/>
    <n v="2013.37"/>
    <s v="Paid"/>
    <x v="0"/>
    <s v="OK"/>
    <s v="OK"/>
    <s v="OK"/>
    <s v="OK"/>
    <n v="0"/>
    <s v="Unique"/>
    <n v="0.25"/>
    <s v="Valid"/>
    <n v="12190.365"/>
    <x v="857"/>
    <n v="0.16516117441930575"/>
    <x v="2"/>
    <x v="0"/>
    <s v="Clean"/>
  </r>
  <r>
    <s v="ORD-2024-10859"/>
    <d v="2024-05-02T00:00:00"/>
    <d v="2024-05-09T00:00:00"/>
    <s v="CUST-9576"/>
    <s v="Arjun Bose"/>
    <x v="0"/>
    <x v="1"/>
    <s v="Odisha"/>
    <s v="Bhubaneswar"/>
    <x v="2"/>
    <x v="5"/>
    <s v="Basic Accessories 602"/>
    <x v="0"/>
    <n v="4"/>
    <n v="2904.86"/>
    <n v="0"/>
    <n v="11619.44"/>
    <n v="7184.32"/>
    <n v="4494.6400000000003"/>
    <s v="Paid"/>
    <x v="0"/>
    <s v="OK"/>
    <s v="OK"/>
    <s v="OK"/>
    <s v="OK"/>
    <n v="7"/>
    <s v="Unique"/>
    <n v="0"/>
    <s v="Valid"/>
    <n v="11619.44"/>
    <x v="858"/>
    <n v="0.3816982574031107"/>
    <x v="4"/>
    <x v="0"/>
    <s v="Clean"/>
  </r>
  <r>
    <s v="ORD-2024-10860"/>
    <d v="2024-10-27T00:00:00"/>
    <d v="2024-11-01T00:00:00"/>
    <s v="CUST-2395"/>
    <s v="Aditi Sen"/>
    <x v="2"/>
    <x v="2"/>
    <s v="Tamil Nadu"/>
    <s v="Chennai"/>
    <x v="2"/>
    <x v="11"/>
    <s v="Elite Phones 394"/>
    <x v="3"/>
    <n v="6"/>
    <n v="4399.2"/>
    <n v="0.05"/>
    <n v="25075.439999999999"/>
    <n v="16282.74"/>
    <n v="8792.7000000000007"/>
    <s v="Paid"/>
    <x v="0"/>
    <s v="OK"/>
    <s v="OK"/>
    <s v="OK"/>
    <s v="OK"/>
    <n v="5"/>
    <s v="Unique"/>
    <n v="0.05"/>
    <s v="Valid"/>
    <n v="25075.439999999995"/>
    <x v="859"/>
    <n v="0.35064987892535471"/>
    <x v="9"/>
    <x v="0"/>
    <s v="Clean"/>
  </r>
  <r>
    <s v="ORD-2024-10861"/>
    <d v="2024-02-02T00:00:00"/>
    <d v="2024-02-04T00:00:00"/>
    <s v="CUST-8941"/>
    <s v="Vikram Iyer"/>
    <x v="3"/>
    <x v="0"/>
    <s v="Uttar Pradesh"/>
    <s v="Noida"/>
    <x v="0"/>
    <x v="8"/>
    <s v="Classic Storage 194"/>
    <x v="0"/>
    <n v="1"/>
    <n v="4397.32"/>
    <n v="0.05"/>
    <n v="4177.45"/>
    <n v="2299.5"/>
    <n v="1877.95"/>
    <s v="Paid"/>
    <x v="0"/>
    <s v="OK"/>
    <s v="OK"/>
    <s v="OK"/>
    <s v="OK"/>
    <n v="2"/>
    <s v="Unique"/>
    <n v="0.05"/>
    <s v="Valid"/>
    <n v="4177.4539999999997"/>
    <x v="860"/>
    <n v="0.44954510570313877"/>
    <x v="6"/>
    <x v="0"/>
    <s v="Clean"/>
  </r>
  <r>
    <s v="ORD-2025-10862"/>
    <d v="2025-03-08T00:00:00"/>
    <d v="2025-03-09T00:00:00"/>
    <s v="CUST-9448"/>
    <s v="Priya Menon"/>
    <x v="3"/>
    <x v="0"/>
    <s v="Delhi"/>
    <s v="New Delhi"/>
    <x v="1"/>
    <x v="3"/>
    <s v="Smart Furnishings 892"/>
    <x v="1"/>
    <n v="4"/>
    <n v="3405.68"/>
    <n v="0.2"/>
    <n v="10898.18"/>
    <n v="6231.41"/>
    <n v="4666.7700000000004"/>
    <s v="Paid"/>
    <x v="0"/>
    <s v="OK"/>
    <s v="OK"/>
    <s v="OK"/>
    <s v="OK"/>
    <n v="1"/>
    <s v="Unique"/>
    <n v="0.2"/>
    <s v="Valid"/>
    <n v="10898.175999999999"/>
    <x v="861"/>
    <n v="0.42821532704188298"/>
    <x v="11"/>
    <x v="1"/>
    <s v="Clean"/>
  </r>
  <r>
    <s v="ORD-2025-10863"/>
    <d v="2025-03-26T00:00:00"/>
    <d v="2025-03-31T00:00:00"/>
    <s v="CUST-8354"/>
    <s v="Priya Menon"/>
    <x v="1"/>
    <x v="1"/>
    <s v="Jharkhand"/>
    <s v="Ranchi"/>
    <x v="0"/>
    <x v="9"/>
    <s v="Pro Binders 488"/>
    <x v="2"/>
    <n v="5"/>
    <n v="1395.14"/>
    <n v="0"/>
    <n v="6975.7"/>
    <n v="4797.88"/>
    <n v="2177.8200000000002"/>
    <s v="Paid"/>
    <x v="1"/>
    <s v="OK"/>
    <s v="OK"/>
    <s v="OK"/>
    <s v="OK"/>
    <n v="5"/>
    <s v="Unique"/>
    <n v="0"/>
    <s v="Valid"/>
    <n v="6975.7000000000007"/>
    <x v="862"/>
    <n v="0.3122009260719355"/>
    <x v="11"/>
    <x v="1"/>
    <s v="Clean"/>
  </r>
  <r>
    <s v="ORD-2025-10864"/>
    <d v="2025-09-06T00:00:00"/>
    <d v="2025-09-08T00:00:00"/>
    <s v="CUST-2200"/>
    <s v="Aarav Sharma"/>
    <x v="3"/>
    <x v="3"/>
    <s v="Madhya Pradesh"/>
    <s v="Indore"/>
    <x v="1"/>
    <x v="3"/>
    <s v="Prime Furnishings 679"/>
    <x v="1"/>
    <n v="3"/>
    <n v="2937.23"/>
    <n v="0"/>
    <n v="8811.69"/>
    <n v="6765.91"/>
    <n v="2045.78"/>
    <s v="Paid"/>
    <x v="0"/>
    <s v="OK"/>
    <s v="OK"/>
    <s v="OK"/>
    <s v="OK"/>
    <n v="2"/>
    <s v="Unique"/>
    <n v="0"/>
    <s v="Valid"/>
    <n v="8811.69"/>
    <x v="863"/>
    <n v="0.23216658779416893"/>
    <x v="7"/>
    <x v="1"/>
    <s v="Clean"/>
  </r>
  <r>
    <s v="ORD-2025-10865"/>
    <d v="2025-09-02T00:00:00"/>
    <d v="2025-09-05T00:00:00"/>
    <s v="CUST-1178"/>
    <s v="Vikram Iyer"/>
    <x v="0"/>
    <x v="2"/>
    <s v="Tamil Nadu"/>
    <s v="Chennai"/>
    <x v="2"/>
    <x v="11"/>
    <s v="Smart Phones 158"/>
    <x v="2"/>
    <n v="5"/>
    <n v="3406.87"/>
    <n v="0"/>
    <n v="17034.349999999999"/>
    <n v="14631.36"/>
    <n v="2402.9899999999998"/>
    <s v="Paid"/>
    <x v="0"/>
    <s v="OK"/>
    <s v="OK"/>
    <s v="OK"/>
    <s v="OK"/>
    <n v="3"/>
    <s v="Unique"/>
    <n v="0"/>
    <s v="Valid"/>
    <n v="17034.349999999999"/>
    <x v="864"/>
    <n v="0.14106731398615141"/>
    <x v="7"/>
    <x v="1"/>
    <s v="Clean"/>
  </r>
  <r>
    <s v="ORD-2025-10866"/>
    <d v="2025-02-06T00:00:00"/>
    <d v="2025-02-14T00:00:00"/>
    <s v="CUST-8099"/>
    <s v="Kabir Singh"/>
    <x v="0"/>
    <x v="3"/>
    <s v="Maharashtra"/>
    <s v="Mumbai"/>
    <x v="0"/>
    <x v="7"/>
    <s v="Classic Labels 218"/>
    <x v="0"/>
    <n v="2"/>
    <n v="3992.04"/>
    <n v="0"/>
    <n v="7984.08"/>
    <n v="5658.05"/>
    <n v="2326.0300000000002"/>
    <s v="Paid"/>
    <x v="0"/>
    <s v="OK"/>
    <s v="OK"/>
    <s v="OK"/>
    <s v="OK"/>
    <n v="8"/>
    <s v="Unique"/>
    <n v="0"/>
    <s v="Valid"/>
    <n v="7984.08"/>
    <x v="865"/>
    <n v="0.29133350367230787"/>
    <x v="6"/>
    <x v="1"/>
    <s v="Clean"/>
  </r>
  <r>
    <s v="ORD-2025-10867"/>
    <d v="2025-02-26T00:00:00"/>
    <d v="2025-03-06T00:00:00"/>
    <s v="CUST-7596"/>
    <s v="Priya Menon"/>
    <x v="0"/>
    <x v="1"/>
    <s v="Bihar"/>
    <s v="Patna"/>
    <x v="1"/>
    <x v="10"/>
    <s v="Smart Bookcases 552"/>
    <x v="2"/>
    <n v="9"/>
    <n v="3043.37"/>
    <n v="0.2"/>
    <n v="21912.26"/>
    <n v="16367.78"/>
    <n v="5544.48"/>
    <s v="Pending"/>
    <x v="1"/>
    <s v="OK"/>
    <s v="OK"/>
    <s v="OK"/>
    <s v="OK"/>
    <n v="8"/>
    <s v="Unique"/>
    <n v="0.2"/>
    <s v="Valid"/>
    <n v="21912.263999999999"/>
    <x v="866"/>
    <n v="0.25303108797885965"/>
    <x v="6"/>
    <x v="1"/>
    <s v="Clean"/>
  </r>
  <r>
    <s v="ORD-2024-10868"/>
    <d v="2024-11-21T00:00:00"/>
    <d v="2024-11-22T00:00:00"/>
    <s v="CUST-2328"/>
    <s v="Rahul Verma"/>
    <x v="3"/>
    <x v="2"/>
    <s v="Andhra Pradesh"/>
    <s v="Vijayawada"/>
    <x v="2"/>
    <x v="5"/>
    <s v="Eco Accessories 389"/>
    <x v="1"/>
    <n v="6"/>
    <n v="1043.49"/>
    <n v="0.25"/>
    <n v="4695.7"/>
    <n v="3871.69"/>
    <n v="824.01"/>
    <s v="Failed"/>
    <x v="1"/>
    <s v="OK"/>
    <s v="OK"/>
    <s v="OK"/>
    <s v="OK"/>
    <n v="1"/>
    <s v="Unique"/>
    <n v="0.25"/>
    <s v="Valid"/>
    <n v="4695.7049999999999"/>
    <x v="867"/>
    <n v="0.17548270174553127"/>
    <x v="3"/>
    <x v="0"/>
    <s v="Clean"/>
  </r>
  <r>
    <s v="ORD-2025-10869"/>
    <d v="2025-04-11T00:00:00"/>
    <d v="2025-04-15T00:00:00"/>
    <s v="CUST-8483"/>
    <s v="Vikram Iyer"/>
    <x v="3"/>
    <x v="2"/>
    <s v="Karnataka"/>
    <s v="Bengaluru"/>
    <x v="0"/>
    <x v="8"/>
    <s v="Elite Storage 187"/>
    <x v="1"/>
    <n v="9"/>
    <n v="224.94"/>
    <n v="0.05"/>
    <n v="1923.24"/>
    <n v="1093.6600000000001"/>
    <n v="829.58"/>
    <s v="Paid"/>
    <x v="0"/>
    <s v="OK"/>
    <s v="OK"/>
    <s v="OK"/>
    <s v="OK"/>
    <n v="4"/>
    <s v="Unique"/>
    <n v="0.05"/>
    <s v="Valid"/>
    <n v="1923.2369999999999"/>
    <x v="868"/>
    <n v="0.43134413491420964"/>
    <x v="5"/>
    <x v="1"/>
    <s v="Clean"/>
  </r>
  <r>
    <s v="ORD-2025-10870"/>
    <d v="2025-03-06T00:00:00"/>
    <d v="2025-03-07T00:00:00"/>
    <s v="CUST-2388"/>
    <s v="Rohan Mehta"/>
    <x v="3"/>
    <x v="4"/>
    <s v="Delhi"/>
    <s v="New Delhi"/>
    <x v="1"/>
    <x v="4"/>
    <s v="Max Chairs 487"/>
    <x v="1"/>
    <n v="6"/>
    <n v="796.65"/>
    <n v="0.1"/>
    <n v="4301.91"/>
    <n v="2374.4"/>
    <n v="1927.51"/>
    <s v="Paid"/>
    <x v="0"/>
    <s v="OK"/>
    <s v="OK"/>
    <s v="OK"/>
    <s v="OK"/>
    <n v="1"/>
    <s v="Unique"/>
    <n v="0.1"/>
    <s v="Valid"/>
    <n v="4301.91"/>
    <x v="869"/>
    <n v="0.44805911792668834"/>
    <x v="11"/>
    <x v="1"/>
    <s v="Warning"/>
  </r>
  <r>
    <s v="ORD-2025-10871"/>
    <d v="2025-06-06T00:00:00"/>
    <d v="2025-06-07T00:00:00"/>
    <s v="CUST-7054"/>
    <s v="Vikram Iyer"/>
    <x v="2"/>
    <x v="3"/>
    <s v="Goa"/>
    <s v="Panaji"/>
    <x v="1"/>
    <x v="1"/>
    <s v="Max Tables 281"/>
    <x v="3"/>
    <n v="9"/>
    <n v="2932.92"/>
    <n v="0.15"/>
    <n v="22436.84"/>
    <n v="17454.669999999998"/>
    <n v="4982.17"/>
    <s v="Paid"/>
    <x v="1"/>
    <s v="OK"/>
    <s v="OK"/>
    <s v="OK"/>
    <s v="OK"/>
    <n v="1"/>
    <s v="Unique"/>
    <n v="0.15"/>
    <s v="Valid"/>
    <n v="22436.838"/>
    <x v="870"/>
    <n v="0.22205303617203109"/>
    <x v="2"/>
    <x v="1"/>
    <s v="Clean"/>
  </r>
  <r>
    <s v="ORD-2024-10872"/>
    <d v="2024-02-20T00:00:00"/>
    <d v="2024-02-22T00:00:00"/>
    <s v="CUST-4375"/>
    <s v="Neha Gupta"/>
    <x v="1"/>
    <x v="2"/>
    <s v="Telangana"/>
    <s v="Hyderabad"/>
    <x v="2"/>
    <x v="5"/>
    <s v="Pro Accessories 325"/>
    <x v="2"/>
    <n v="9"/>
    <n v="2186.23"/>
    <n v="0"/>
    <n v="19676.07"/>
    <n v="12458.62"/>
    <n v="7217.45"/>
    <s v="Refunded"/>
    <x v="1"/>
    <s v="OK"/>
    <s v="OK"/>
    <s v="OK"/>
    <s v="OK"/>
    <n v="2"/>
    <s v="Unique"/>
    <n v="0"/>
    <s v="Valid"/>
    <n v="19676.07"/>
    <x v="871"/>
    <n v="0.36681359641432454"/>
    <x v="6"/>
    <x v="0"/>
    <s v="Clean"/>
  </r>
  <r>
    <s v="ORD-2024-10873"/>
    <d v="2024-11-01T00:00:00"/>
    <d v="2024-11-02T00:00:00"/>
    <s v="CUST-6262"/>
    <s v="Karan Malhotra"/>
    <x v="2"/>
    <x v="1"/>
    <s v="West Bengal"/>
    <s v="Kolkata"/>
    <x v="1"/>
    <x v="3"/>
    <s v="Prime Furnishings 178"/>
    <x v="3"/>
    <n v="5"/>
    <n v="2212.02"/>
    <n v="0.2"/>
    <n v="8848.08"/>
    <n v="5691.56"/>
    <n v="3156.52"/>
    <s v="Paid"/>
    <x v="0"/>
    <s v="OK"/>
    <s v="OK"/>
    <s v="OK"/>
    <s v="OK"/>
    <n v="1"/>
    <s v="Unique"/>
    <n v="0.2"/>
    <s v="Valid"/>
    <n v="8848.08"/>
    <x v="872"/>
    <n v="0.35674632236598219"/>
    <x v="3"/>
    <x v="0"/>
    <s v="Clean"/>
  </r>
  <r>
    <s v="ORD-2025-10874"/>
    <d v="2025-02-01T00:00:00"/>
    <d v="2025-02-08T00:00:00"/>
    <s v="CUST-8160"/>
    <s v="Aditi Sen"/>
    <x v="3"/>
    <x v="3"/>
    <s v="Gujarat"/>
    <s v="Ahmedabad"/>
    <x v="0"/>
    <x v="8"/>
    <s v="Elite Storage 144"/>
    <x v="0"/>
    <n v="8"/>
    <n v="623.30999999999995"/>
    <n v="0.1"/>
    <n v="4487.83"/>
    <n v="2633.78"/>
    <n v="1854.05"/>
    <s v="Paid"/>
    <x v="0"/>
    <s v="OK"/>
    <s v="OK"/>
    <s v="OK"/>
    <s v="OK"/>
    <n v="7"/>
    <s v="Unique"/>
    <n v="0.1"/>
    <s v="Valid"/>
    <n v="4487.8319999999994"/>
    <x v="873"/>
    <n v="0.41312865543986482"/>
    <x v="6"/>
    <x v="1"/>
    <s v="Clean"/>
  </r>
  <r>
    <s v="ORD-2025-10875"/>
    <d v="2025-07-15T00:00:00"/>
    <d v="2025-07-16T00:00:00"/>
    <s v="CUST-8770"/>
    <s v="Vikram Iyer"/>
    <x v="1"/>
    <x v="3"/>
    <s v="Maharashtra"/>
    <s v="Mumbai"/>
    <x v="0"/>
    <x v="0"/>
    <s v="Elite Paper 309"/>
    <x v="3"/>
    <n v="8"/>
    <n v="3924.88"/>
    <n v="0.05"/>
    <n v="29829.09"/>
    <n v="20710.18"/>
    <n v="9118.91"/>
    <s v="Paid"/>
    <x v="0"/>
    <s v="OK"/>
    <s v="OK"/>
    <s v="OK"/>
    <s v="OK"/>
    <n v="1"/>
    <s v="Unique"/>
    <n v="0.05"/>
    <s v="Valid"/>
    <n v="29829.088"/>
    <x v="874"/>
    <n v="0.30570522303598419"/>
    <x v="0"/>
    <x v="1"/>
    <s v="Clean"/>
  </r>
  <r>
    <s v="ORD-2024-10876"/>
    <d v="2024-08-10T00:00:00"/>
    <d v="2024-08-11T00:00:00"/>
    <s v="CUST-6928"/>
    <s v="Mira Das"/>
    <x v="2"/>
    <x v="3"/>
    <s v="Maharashtra"/>
    <s v="Mumbai"/>
    <x v="2"/>
    <x v="6"/>
    <s v="Elite Copiers 752"/>
    <x v="2"/>
    <n v="7"/>
    <n v="3852.62"/>
    <n v="0.2"/>
    <n v="21574.67"/>
    <n v="14672.83"/>
    <n v="6901.84"/>
    <s v="Paid"/>
    <x v="0"/>
    <s v="OK"/>
    <s v="OK"/>
    <s v="OK"/>
    <s v="OK"/>
    <n v="1"/>
    <s v="Unique"/>
    <n v="0.2"/>
    <s v="Valid"/>
    <n v="21574.672000000002"/>
    <x v="875"/>
    <n v="0.31990484026825539"/>
    <x v="1"/>
    <x v="0"/>
    <s v="Clean"/>
  </r>
  <r>
    <s v="ORD-2024-10877"/>
    <d v="2024-11-18T00:00:00"/>
    <d v="2024-11-20T00:00:00"/>
    <s v="CUST-9044"/>
    <s v="Priya Menon"/>
    <x v="0"/>
    <x v="3"/>
    <s v="Rajasthan"/>
    <s v="Udaipur"/>
    <x v="1"/>
    <x v="4"/>
    <s v="Pro Chairs 316"/>
    <x v="2"/>
    <n v="6"/>
    <n v="3790.22"/>
    <n v="0"/>
    <n v="22741.32"/>
    <n v="16388.57"/>
    <n v="6352.75"/>
    <s v="Paid"/>
    <x v="0"/>
    <s v="OK"/>
    <s v="OK"/>
    <s v="OK"/>
    <s v="OK"/>
    <n v="2"/>
    <s v="Unique"/>
    <n v="0"/>
    <s v="Valid"/>
    <n v="22741.32"/>
    <x v="876"/>
    <n v="0.27934834037777928"/>
    <x v="3"/>
    <x v="0"/>
    <s v="Clean"/>
  </r>
  <r>
    <s v="ORD-2025-10878"/>
    <d v="2025-08-26T00:00:00"/>
    <d v="2025-09-03T00:00:00"/>
    <s v="CUST-7146"/>
    <s v="Aarav Sharma"/>
    <x v="0"/>
    <x v="3"/>
    <s v="Rajasthan"/>
    <s v="Udaipur"/>
    <x v="0"/>
    <x v="8"/>
    <s v="Max Storage 438"/>
    <x v="0"/>
    <n v="6"/>
    <n v="674.36"/>
    <n v="0.1"/>
    <n v="3641.54"/>
    <n v="2690.37"/>
    <n v="951.17"/>
    <s v="Paid"/>
    <x v="0"/>
    <s v="OK"/>
    <s v="OK"/>
    <s v="OK"/>
    <s v="OK"/>
    <n v="8"/>
    <s v="Unique"/>
    <n v="0.1"/>
    <s v="Valid"/>
    <n v="3641.5439999999999"/>
    <x v="877"/>
    <n v="0.26120074342092253"/>
    <x v="1"/>
    <x v="1"/>
    <s v="Clean"/>
  </r>
  <r>
    <s v="ORD-2024-10879"/>
    <d v="2024-01-22T00:00:00"/>
    <d v="2024-01-22T00:00:00"/>
    <s v="CUST-8534"/>
    <s v="Karan Malhotra"/>
    <x v="2"/>
    <x v="1"/>
    <s v="West Bengal"/>
    <s v="Kolkata"/>
    <x v="0"/>
    <x v="0"/>
    <s v="Basic Paper 904"/>
    <x v="2"/>
    <n v="8"/>
    <n v="1557.21"/>
    <n v="0.05"/>
    <n v="11834.8"/>
    <n v="9322.36"/>
    <n v="2512.44"/>
    <s v="Paid"/>
    <x v="0"/>
    <s v="OK"/>
    <s v="OK"/>
    <s v="OK"/>
    <s v="OK"/>
    <n v="0"/>
    <s v="Unique"/>
    <n v="0.05"/>
    <s v="Valid"/>
    <n v="11834.796"/>
    <x v="878"/>
    <n v="0.21229229468763125"/>
    <x v="10"/>
    <x v="0"/>
    <s v="Clean"/>
  </r>
  <r>
    <s v="ORD-2025-10880"/>
    <d v="2025-08-27T00:00:00"/>
    <d v="2025-08-28T00:00:00"/>
    <s v="CUST-4486"/>
    <s v="Ananya Rao"/>
    <x v="3"/>
    <x v="0"/>
    <s v="Uttar Pradesh"/>
    <s v="Noida"/>
    <x v="0"/>
    <x v="2"/>
    <s v="Smart Art 990"/>
    <x v="3"/>
    <n v="6"/>
    <n v="1182.03"/>
    <n v="0.15"/>
    <n v="6028.35"/>
    <n v="4433.63"/>
    <n v="1594.72"/>
    <s v="Paid"/>
    <x v="0"/>
    <s v="OK"/>
    <s v="OK"/>
    <s v="OK"/>
    <s v="OK"/>
    <n v="1"/>
    <s v="Unique"/>
    <n v="0.15"/>
    <s v="Valid"/>
    <n v="6028.3530000000001"/>
    <x v="879"/>
    <n v="0.26453709661660491"/>
    <x v="1"/>
    <x v="1"/>
    <s v="Clean"/>
  </r>
  <r>
    <s v="ORD-2024-10881"/>
    <d v="2024-03-08T00:00:00"/>
    <d v="2024-03-15T00:00:00"/>
    <s v="CUST-5287"/>
    <s v="Aarav Sharma"/>
    <x v="1"/>
    <x v="4"/>
    <s v="Punjab"/>
    <s v="Ludhiana"/>
    <x v="1"/>
    <x v="4"/>
    <s v="Basic Chairs 327"/>
    <x v="2"/>
    <n v="5"/>
    <n v="3234.77"/>
    <n v="0"/>
    <n v="16173.85"/>
    <n v="13636.34"/>
    <n v="2537.5100000000002"/>
    <s v="Paid"/>
    <x v="0"/>
    <s v="OK"/>
    <s v="OK"/>
    <s v="OK"/>
    <s v="OK"/>
    <n v="7"/>
    <s v="Unique"/>
    <n v="0"/>
    <s v="Valid"/>
    <n v="16173.85"/>
    <x v="880"/>
    <n v="0.15688967067210344"/>
    <x v="11"/>
    <x v="0"/>
    <s v="Warning"/>
  </r>
  <r>
    <s v="ORD-2024-10882"/>
    <d v="2024-12-01T00:00:00"/>
    <d v="2024-12-05T00:00:00"/>
    <s v="CUST-3445"/>
    <s v="Ananya Rao"/>
    <x v="1"/>
    <x v="2"/>
    <s v="Andhra Pradesh"/>
    <s v="Vijayawada"/>
    <x v="2"/>
    <x v="6"/>
    <s v="Eco Copiers 987"/>
    <x v="0"/>
    <n v="9"/>
    <n v="3726.75"/>
    <n v="0.25"/>
    <n v="25155.56"/>
    <n v="17592.689999999999"/>
    <n v="7562.87"/>
    <s v="Paid"/>
    <x v="0"/>
    <s v="OK"/>
    <s v="OK"/>
    <s v="OK"/>
    <s v="OK"/>
    <n v="4"/>
    <s v="Unique"/>
    <n v="0.25"/>
    <s v="Valid"/>
    <n v="25155.5625"/>
    <x v="881"/>
    <n v="0.30064414182747856"/>
    <x v="8"/>
    <x v="0"/>
    <s v="Clean"/>
  </r>
  <r>
    <s v="ORD-2025-10883"/>
    <d v="2025-02-02T00:00:00"/>
    <d v="2025-02-10T00:00:00"/>
    <s v="CUST-4983"/>
    <s v="Sneha Kapoor"/>
    <x v="2"/>
    <x v="1"/>
    <s v="Bihar"/>
    <s v="Patna"/>
    <x v="2"/>
    <x v="5"/>
    <s v="Basic Accessories 607"/>
    <x v="3"/>
    <n v="4"/>
    <n v="1912.45"/>
    <n v="0"/>
    <n v="7649.8"/>
    <n v="4894.53"/>
    <n v="2755.27"/>
    <s v="Pending"/>
    <x v="2"/>
    <s v="OK"/>
    <s v="OK"/>
    <s v="OK"/>
    <s v="OK"/>
    <n v="8"/>
    <s v="Unique"/>
    <n v="0"/>
    <s v="Valid"/>
    <n v="7649.8"/>
    <x v="882"/>
    <n v="0.36017542942299152"/>
    <x v="6"/>
    <x v="1"/>
    <s v="Clean"/>
  </r>
  <r>
    <s v="ORD-2025-10884"/>
    <d v="2025-04-28T00:00:00"/>
    <d v="2025-05-01T00:00:00"/>
    <s v="CUST-2597"/>
    <s v="Aarav Sharma"/>
    <x v="1"/>
    <x v="3"/>
    <s v="Goa"/>
    <s v="Panaji"/>
    <x v="0"/>
    <x v="8"/>
    <s v="Classic Storage 211"/>
    <x v="1"/>
    <n v="1"/>
    <n v="1620.87"/>
    <n v="0"/>
    <n v="1620.87"/>
    <n v="1103.6099999999999"/>
    <n v="517.26"/>
    <s v="Paid"/>
    <x v="0"/>
    <s v="OK"/>
    <s v="OK"/>
    <s v="OK"/>
    <s v="OK"/>
    <n v="3"/>
    <s v="Unique"/>
    <n v="0"/>
    <s v="Valid"/>
    <n v="1620.87"/>
    <x v="883"/>
    <n v="0.31912491439782342"/>
    <x v="5"/>
    <x v="1"/>
    <s v="Clean"/>
  </r>
  <r>
    <s v="ORD-2025-10885"/>
    <d v="2025-01-18T00:00:00"/>
    <d v="2025-01-25T00:00:00"/>
    <s v="CUST-7505"/>
    <s v="Neha Gupta"/>
    <x v="3"/>
    <x v="2"/>
    <s v="Karnataka"/>
    <s v="Bengaluru"/>
    <x v="0"/>
    <x v="8"/>
    <s v="Eco Storage 783"/>
    <x v="1"/>
    <n v="2"/>
    <n v="2098.54"/>
    <n v="0.15"/>
    <n v="3567.52"/>
    <n v="2411.8000000000002"/>
    <n v="1155.72"/>
    <s v="Paid"/>
    <x v="0"/>
    <s v="OK"/>
    <s v="OK"/>
    <s v="OK"/>
    <s v="OK"/>
    <n v="7"/>
    <s v="Unique"/>
    <n v="0.15"/>
    <s v="Valid"/>
    <n v="3567.518"/>
    <x v="884"/>
    <n v="0.32395575859743381"/>
    <x v="10"/>
    <x v="1"/>
    <s v="Clean"/>
  </r>
  <r>
    <s v="ORD-2024-10886"/>
    <d v="2024-01-05T00:00:00"/>
    <d v="2024-01-05T00:00:00"/>
    <s v="CUST-3446"/>
    <s v="Diya Patel"/>
    <x v="0"/>
    <x v="0"/>
    <s v="Rajasthan"/>
    <s v="Jaipur"/>
    <x v="1"/>
    <x v="1"/>
    <s v="Pro Tables 866"/>
    <x v="3"/>
    <n v="1"/>
    <n v="2167.08"/>
    <n v="0.25"/>
    <n v="1625.31"/>
    <n v="1157.8900000000001"/>
    <n v="467.42"/>
    <s v="Paid"/>
    <x v="0"/>
    <s v="OK"/>
    <s v="OK"/>
    <s v="OK"/>
    <s v="OK"/>
    <n v="0"/>
    <s v="Unique"/>
    <n v="0.25"/>
    <s v="Valid"/>
    <n v="1625.31"/>
    <x v="885"/>
    <n v="0.28758821394072509"/>
    <x v="10"/>
    <x v="0"/>
    <s v="Clean"/>
  </r>
  <r>
    <s v="ORD-2025-10887"/>
    <d v="2025-04-26T00:00:00"/>
    <d v="2025-05-03T00:00:00"/>
    <s v="CUST-3549"/>
    <s v="Arjun Bose"/>
    <x v="3"/>
    <x v="2"/>
    <s v="Tamil Nadu"/>
    <s v="Chennai"/>
    <x v="2"/>
    <x v="5"/>
    <s v="Max Accessories 541"/>
    <x v="2"/>
    <n v="7"/>
    <n v="3989.9"/>
    <n v="0.15"/>
    <n v="23739.9"/>
    <n v="17716.52"/>
    <n v="6023.38"/>
    <s v="Paid"/>
    <x v="1"/>
    <s v="OK"/>
    <s v="OK"/>
    <s v="OK"/>
    <s v="OK"/>
    <n v="7"/>
    <s v="Unique"/>
    <n v="0.15"/>
    <s v="Valid"/>
    <n v="23739.904999999999"/>
    <x v="886"/>
    <n v="0.25372405660427028"/>
    <x v="5"/>
    <x v="1"/>
    <s v="Clean"/>
  </r>
  <r>
    <s v="ORD-2024-10888"/>
    <d v="2024-06-12T00:00:00"/>
    <d v="2024-06-18T00:00:00"/>
    <s v="CUST-2795"/>
    <s v="Aarav Sharma"/>
    <x v="1"/>
    <x v="2"/>
    <s v="Andhra Pradesh"/>
    <s v="Vijayawada"/>
    <x v="0"/>
    <x v="2"/>
    <s v="Prime Art 596"/>
    <x v="3"/>
    <n v="4"/>
    <n v="4176.13"/>
    <n v="0"/>
    <n v="16704.52"/>
    <n v="10158.280000000001"/>
    <n v="6546.24"/>
    <s v="Paid"/>
    <x v="0"/>
    <s v="OK"/>
    <s v="OK"/>
    <s v="OK"/>
    <s v="OK"/>
    <n v="6"/>
    <s v="Unique"/>
    <n v="0"/>
    <s v="Valid"/>
    <n v="16704.52"/>
    <x v="887"/>
    <n v="0.39188435225914897"/>
    <x v="2"/>
    <x v="0"/>
    <s v="Clean"/>
  </r>
  <r>
    <s v="ORD-2025-10889"/>
    <d v="2025-08-06T00:00:00"/>
    <d v="2025-08-07T00:00:00"/>
    <s v="CUST-1081"/>
    <s v="Rahul Verma"/>
    <x v="1"/>
    <x v="3"/>
    <s v="Maharashtra"/>
    <s v="Mumbai"/>
    <x v="0"/>
    <x v="2"/>
    <s v="Pro Art 620"/>
    <x v="3"/>
    <n v="4"/>
    <n v="3523.64"/>
    <n v="0.1"/>
    <n v="12685.1"/>
    <n v="10779.56"/>
    <n v="1905.54"/>
    <s v="Refunded"/>
    <x v="1"/>
    <s v="OK"/>
    <s v="OK"/>
    <s v="OK"/>
    <s v="OK"/>
    <n v="1"/>
    <s v="Unique"/>
    <n v="0.1"/>
    <s v="Valid"/>
    <n v="12685.103999999999"/>
    <x v="888"/>
    <n v="0.15021902855506741"/>
    <x v="1"/>
    <x v="1"/>
    <s v="Clean"/>
  </r>
  <r>
    <s v="ORD-2025-10890"/>
    <d v="2025-03-10T00:00:00"/>
    <d v="2025-03-11T00:00:00"/>
    <s v="CUST-8467"/>
    <s v="Aditi Sen"/>
    <x v="3"/>
    <x v="3"/>
    <s v="Madhya Pradesh"/>
    <s v="Indore"/>
    <x v="0"/>
    <x v="8"/>
    <s v="Prime Storage 806"/>
    <x v="2"/>
    <n v="2"/>
    <n v="3922.08"/>
    <n v="0.25"/>
    <n v="5883.12"/>
    <n v="4647.91"/>
    <n v="1235.21"/>
    <s v="Paid"/>
    <x v="2"/>
    <s v="OK"/>
    <s v="OK"/>
    <s v="OK"/>
    <s v="OK"/>
    <n v="1"/>
    <s v="Unique"/>
    <n v="0.25"/>
    <s v="Valid"/>
    <n v="5883.12"/>
    <x v="889"/>
    <n v="0.20995832143488491"/>
    <x v="11"/>
    <x v="1"/>
    <s v="Clean"/>
  </r>
  <r>
    <s v="ORD-2024-10891"/>
    <d v="2024-05-15T00:00:00"/>
    <d v="2024-05-21T00:00:00"/>
    <s v="CUST-3992"/>
    <s v="Karan Malhotra"/>
    <x v="0"/>
    <x v="3"/>
    <s v="Goa"/>
    <s v="Panaji"/>
    <x v="0"/>
    <x v="8"/>
    <s v="Smart Storage 288"/>
    <x v="3"/>
    <n v="6"/>
    <n v="2909.56"/>
    <n v="0.2"/>
    <n v="13965.89"/>
    <n v="11646.12"/>
    <n v="2319.77"/>
    <s v="Paid"/>
    <x v="0"/>
    <s v="OK"/>
    <s v="OK"/>
    <s v="OK"/>
    <s v="OK"/>
    <n v="6"/>
    <s v="Unique"/>
    <n v="0.2"/>
    <s v="Valid"/>
    <n v="13965.888000000001"/>
    <x v="890"/>
    <n v="0.16610243473239938"/>
    <x v="4"/>
    <x v="0"/>
    <s v="Clean"/>
  </r>
  <r>
    <s v="ORD-2024-10892"/>
    <d v="2024-10-08T00:00:00"/>
    <d v="2024-10-09T00:00:00"/>
    <s v="CUST-6647"/>
    <s v="Kabir Singh"/>
    <x v="2"/>
    <x v="2"/>
    <s v="Tamil Nadu"/>
    <s v="Chennai"/>
    <x v="2"/>
    <x v="12"/>
    <s v="Elite Machines 281"/>
    <x v="1"/>
    <n v="5"/>
    <n v="2407.9699999999998"/>
    <n v="0.1"/>
    <n v="10835.86"/>
    <n v="6419.92"/>
    <n v="4415.9399999999996"/>
    <s v="Failed"/>
    <x v="1"/>
    <s v="OK"/>
    <s v="OK"/>
    <s v="OK"/>
    <s v="OK"/>
    <n v="1"/>
    <s v="Unique"/>
    <n v="0.1"/>
    <s v="Valid"/>
    <n v="10835.865"/>
    <x v="891"/>
    <n v="0.40753045557507406"/>
    <x v="9"/>
    <x v="0"/>
    <s v="Clean"/>
  </r>
  <r>
    <s v="ORD-2025-10893"/>
    <d v="2025-04-12T00:00:00"/>
    <d v="2025-04-18T00:00:00"/>
    <s v="CUST-5087"/>
    <s v="Isha Nair"/>
    <x v="1"/>
    <x v="1"/>
    <s v="Jharkhand"/>
    <s v="Ranchi"/>
    <x v="2"/>
    <x v="6"/>
    <s v="Elite Copiers 221"/>
    <x v="1"/>
    <n v="1"/>
    <n v="726.89"/>
    <n v="0.2"/>
    <n v="581.51"/>
    <n v="423.86"/>
    <n v="157.65"/>
    <s v="Paid"/>
    <x v="0"/>
    <s v="OK"/>
    <s v="OK"/>
    <s v="OK"/>
    <s v="OK"/>
    <n v="6"/>
    <s v="Unique"/>
    <n v="0.2"/>
    <s v="Valid"/>
    <n v="581.51200000000006"/>
    <x v="892"/>
    <n v="0.27110704508247468"/>
    <x v="5"/>
    <x v="1"/>
    <s v="Clean"/>
  </r>
  <r>
    <s v="ORD-2024-10894"/>
    <d v="2024-06-06T00:00:00"/>
    <d v="2024-06-08T00:00:00"/>
    <s v="CUST-9297"/>
    <s v="Aarav Sharma"/>
    <x v="2"/>
    <x v="2"/>
    <s v="Karnataka"/>
    <s v="Bengaluru"/>
    <x v="1"/>
    <x v="1"/>
    <s v="Max Tables 291"/>
    <x v="0"/>
    <n v="3"/>
    <n v="395.49"/>
    <n v="0.05"/>
    <n v="1127.1500000000001"/>
    <n v="845.62"/>
    <n v="281.52999999999997"/>
    <s v="Paid"/>
    <x v="2"/>
    <s v="OK"/>
    <s v="OK"/>
    <s v="OK"/>
    <s v="OK"/>
    <n v="2"/>
    <s v="Unique"/>
    <n v="0.05"/>
    <s v="Valid"/>
    <n v="1127.1465000000001"/>
    <x v="893"/>
    <n v="0.24976921810962466"/>
    <x v="2"/>
    <x v="0"/>
    <s v="Clean"/>
  </r>
  <r>
    <s v="ORD-2024-10895"/>
    <d v="2024-02-22T00:00:00"/>
    <d v="2024-02-29T00:00:00"/>
    <s v="CUST-7996"/>
    <s v="Isha Nair"/>
    <x v="3"/>
    <x v="2"/>
    <s v="Telangana"/>
    <s v="Hyderabad"/>
    <x v="1"/>
    <x v="1"/>
    <s v="Classic Tables 638"/>
    <x v="2"/>
    <n v="6"/>
    <n v="4254.05"/>
    <n v="0"/>
    <n v="25524.3"/>
    <n v="16711.93"/>
    <n v="8812.3700000000008"/>
    <s v="Paid"/>
    <x v="0"/>
    <s v="OK"/>
    <s v="OK"/>
    <s v="OK"/>
    <s v="OK"/>
    <n v="7"/>
    <s v="Unique"/>
    <n v="0"/>
    <s v="Valid"/>
    <n v="25524.300000000003"/>
    <x v="894"/>
    <n v="0.34525413037771857"/>
    <x v="6"/>
    <x v="0"/>
    <s v="Clean"/>
  </r>
  <r>
    <s v="ORD-2024-10896"/>
    <d v="2024-11-05T00:00:00"/>
    <d v="2024-11-10T00:00:00"/>
    <s v="CUST-4117"/>
    <s v="Arjun Bose"/>
    <x v="0"/>
    <x v="2"/>
    <s v="Kerala"/>
    <s v="Kochi"/>
    <x v="1"/>
    <x v="4"/>
    <s v="Basic Chairs 212"/>
    <x v="1"/>
    <n v="4"/>
    <n v="711.18"/>
    <n v="0.15"/>
    <n v="2418.0100000000002"/>
    <n v="1441.89"/>
    <n v="976.12"/>
    <s v="Pending"/>
    <x v="2"/>
    <s v="OK"/>
    <s v="OK"/>
    <s v="OK"/>
    <s v="OK"/>
    <n v="5"/>
    <s v="Unique"/>
    <n v="0.15"/>
    <s v="Valid"/>
    <n v="2418.0119999999997"/>
    <x v="895"/>
    <n v="0.40368782288921634"/>
    <x v="3"/>
    <x v="0"/>
    <s v="Clean"/>
  </r>
  <r>
    <s v="ORD-2024-10897"/>
    <d v="2024-12-24T00:00:00"/>
    <d v="2024-12-25T00:00:00"/>
    <s v="CUST-4848"/>
    <s v="Ananya Rao"/>
    <x v="1"/>
    <x v="2"/>
    <s v="Tamil Nadu"/>
    <s v="Chennai"/>
    <x v="2"/>
    <x v="6"/>
    <s v="Max Copiers 121"/>
    <x v="0"/>
    <n v="1"/>
    <n v="3693.03"/>
    <n v="0.05"/>
    <n v="3508.38"/>
    <n v="2828.06"/>
    <n v="680.32"/>
    <s v="Failed"/>
    <x v="2"/>
    <s v="OK"/>
    <s v="OK"/>
    <s v="OK"/>
    <s v="OK"/>
    <n v="1"/>
    <s v="Unique"/>
    <n v="0.05"/>
    <s v="Valid"/>
    <n v="3508.3784999999998"/>
    <x v="896"/>
    <n v="0.19391251542557336"/>
    <x v="8"/>
    <x v="0"/>
    <s v="Clean"/>
  </r>
  <r>
    <s v="ORD-2025-10898"/>
    <d v="2025-04-29T00:00:00"/>
    <d v="2025-05-03T00:00:00"/>
    <s v="CUST-2897"/>
    <s v="Rohan Mehta"/>
    <x v="2"/>
    <x v="0"/>
    <s v="Haryana"/>
    <s v="Gurugram"/>
    <x v="0"/>
    <x v="0"/>
    <s v="Eco Paper 747"/>
    <x v="2"/>
    <n v="4"/>
    <n v="1786.65"/>
    <n v="0.05"/>
    <n v="6789.27"/>
    <n v="5626.43"/>
    <n v="1162.8399999999999"/>
    <s v="Paid"/>
    <x v="0"/>
    <s v="OK"/>
    <s v="OK"/>
    <s v="OK"/>
    <s v="OK"/>
    <n v="4"/>
    <s v="Unique"/>
    <n v="0.05"/>
    <s v="Valid"/>
    <n v="6789.27"/>
    <x v="897"/>
    <n v="0.17127614603631908"/>
    <x v="5"/>
    <x v="1"/>
    <s v="Clean"/>
  </r>
  <r>
    <s v="ORD-2024-10899"/>
    <d v="2024-06-02T00:00:00"/>
    <d v="2024-06-08T00:00:00"/>
    <s v="CUST-6046"/>
    <s v="Vikram Iyer"/>
    <x v="0"/>
    <x v="0"/>
    <s v="Delhi"/>
    <s v="New Delhi"/>
    <x v="1"/>
    <x v="1"/>
    <s v="Classic Tables 535"/>
    <x v="2"/>
    <n v="4"/>
    <n v="1536.7"/>
    <n v="0.2"/>
    <n v="4917.4399999999996"/>
    <n v="3846.77"/>
    <n v="1070.67"/>
    <s v="Paid"/>
    <x v="0"/>
    <s v="OK"/>
    <s v="OK"/>
    <s v="OK"/>
    <s v="OK"/>
    <n v="6"/>
    <s v="Unique"/>
    <n v="0.2"/>
    <s v="Valid"/>
    <n v="4917.4400000000005"/>
    <x v="898"/>
    <n v="0.21772914361944434"/>
    <x v="2"/>
    <x v="0"/>
    <s v="Clean"/>
  </r>
  <r>
    <s v="ORD-2025-10900"/>
    <d v="2025-05-27T00:00:00"/>
    <d v="2025-06-03T00:00:00"/>
    <s v="CUST-3789"/>
    <s v="Karan Malhotra"/>
    <x v="0"/>
    <x v="0"/>
    <s v="Punjab"/>
    <s v="Ludhiana"/>
    <x v="1"/>
    <x v="4"/>
    <s v="Elite Chairs 971"/>
    <x v="2"/>
    <n v="5"/>
    <n v="881.08"/>
    <n v="0.25"/>
    <n v="3304.05"/>
    <n v="2279.41"/>
    <n v="1024.6400000000001"/>
    <s v="Failed"/>
    <x v="1"/>
    <s v="OK"/>
    <s v="OK"/>
    <s v="OK"/>
    <s v="OK"/>
    <n v="7"/>
    <s v="Unique"/>
    <n v="0.25"/>
    <s v="Valid"/>
    <n v="3304.05"/>
    <x v="899"/>
    <n v="0.31011637233092726"/>
    <x v="4"/>
    <x v="1"/>
    <s v="Clean"/>
  </r>
  <r>
    <s v="ORD-2024-10332"/>
    <d v="2024-12-04T00:00:00"/>
    <d v="2024-12-06T00:00:00"/>
    <s v="CUST-9346"/>
    <s v="Sneha Kapoor"/>
    <x v="3"/>
    <x v="1"/>
    <s v="Odisha"/>
    <s v="Bhubaneswar"/>
    <x v="0"/>
    <x v="9"/>
    <s v="Smart Binders 939"/>
    <x v="0"/>
    <n v="4"/>
    <n v="2685.66"/>
    <n v="0"/>
    <n v="10989.89"/>
    <n v="6477.37"/>
    <n v="4265.2700000000004"/>
    <s v="Paid"/>
    <x v="0"/>
    <s v="OK"/>
    <s v="OK"/>
    <s v="OK"/>
    <s v="OK"/>
    <n v="2"/>
    <s v="Conflicting Duplicate - Manual Review Required"/>
    <n v="0"/>
    <s v="Valid"/>
    <n v="10742.64"/>
    <x v="331"/>
    <n v="0.39704113700170535"/>
    <x v="8"/>
    <x v="0"/>
    <s v="Invalid"/>
  </r>
  <r>
    <s v="ORD-2025-10091"/>
    <d v="2025-08-24T00:00:00"/>
    <d v="2025-08-29T00:00:00"/>
    <s v="CUST-5909"/>
    <s v="Aarav Sharma"/>
    <x v="1"/>
    <x v="1"/>
    <s v="Bihar"/>
    <s v="Patna"/>
    <x v="2"/>
    <x v="6"/>
    <s v="Smart Copiers 556"/>
    <x v="2"/>
    <n v="3"/>
    <n v="3703.96"/>
    <n v="0.15"/>
    <n v="9549.44"/>
    <n v="5586.28"/>
    <n v="3858.82"/>
    <s v="Paid"/>
    <x v="2"/>
    <s v="OK"/>
    <s v="OK"/>
    <s v="OK"/>
    <s v="OK"/>
    <n v="5"/>
    <s v="Conflicting Duplicate - Manual Review Required"/>
    <n v="0.15"/>
    <s v="Valid"/>
    <n v="9445.098"/>
    <x v="90"/>
    <n v="0.40855245758170006"/>
    <x v="1"/>
    <x v="1"/>
    <s v="Invalid"/>
  </r>
  <r>
    <s v="ORD-2025-10374"/>
    <d v="2025-04-13T00:00:00"/>
    <d v="2025-04-13T00:00:00"/>
    <s v="CUST-8566"/>
    <s v="Sneha Kapoor"/>
    <x v="1"/>
    <x v="0"/>
    <s v="Uttar Pradesh"/>
    <s v="Noida"/>
    <x v="0"/>
    <x v="8"/>
    <s v="Prime Storage 951"/>
    <x v="0"/>
    <n v="9"/>
    <n v="1118.68"/>
    <n v="0"/>
    <n v="10348.43"/>
    <n v="8595.3700000000008"/>
    <n v="1472.75"/>
    <s v="Paid"/>
    <x v="2"/>
    <s v="OK"/>
    <s v="OK"/>
    <s v="OK"/>
    <s v="OK"/>
    <n v="0"/>
    <s v="Conflicting Duplicate - Manual Review Required"/>
    <n v="0"/>
    <s v="Valid"/>
    <n v="10068.120000000001"/>
    <x v="373"/>
    <n v="0.14627855051389932"/>
    <x v="5"/>
    <x v="1"/>
    <s v="Invalid"/>
  </r>
  <r>
    <s v="ORD-2025-10225"/>
    <d v="2025-10-02T00:00:00"/>
    <d v="2025-10-08T00:00:00"/>
    <s v="CUST-9871"/>
    <s v="Isha Nair"/>
    <x v="1"/>
    <x v="0"/>
    <s v="Punjab"/>
    <s v="Ludhiana"/>
    <x v="1"/>
    <x v="3"/>
    <s v="Classic Furnishings 109"/>
    <x v="3"/>
    <n v="4"/>
    <n v="3944.64"/>
    <n v="0.25"/>
    <n v="12116.89"/>
    <n v="6682.92"/>
    <n v="5151"/>
    <s v="Paid"/>
    <x v="2"/>
    <s v="OK"/>
    <s v="OK"/>
    <s v="OK"/>
    <s v="OK"/>
    <n v="6"/>
    <s v="Conflicting Duplicate - Manual Review Required"/>
    <n v="0.25"/>
    <s v="Valid"/>
    <n v="11833.92"/>
    <x v="224"/>
    <n v="0.43527419485681834"/>
    <x v="9"/>
    <x v="1"/>
    <s v="Invalid"/>
  </r>
  <r>
    <s v="ORD-2025-10315"/>
    <d v="2025-05-18T00:00:00"/>
    <d v="2025-05-20T00:00:00"/>
    <s v="CUST-1945"/>
    <s v="Isha Nair"/>
    <x v="2"/>
    <x v="3"/>
    <s v="Madhya Pradesh"/>
    <s v="Indore"/>
    <x v="0"/>
    <x v="7"/>
    <s v="Elite Labels 544"/>
    <x v="3"/>
    <n v="9"/>
    <n v="847.76"/>
    <n v="0.15"/>
    <n v="6589.37"/>
    <n v="5376.17"/>
    <n v="1109.19"/>
    <s v="Failed"/>
    <x v="0"/>
    <s v="OK"/>
    <s v="OK"/>
    <s v="OK"/>
    <s v="OK"/>
    <n v="2"/>
    <s v="Conflicting Duplicate - Manual Review Required"/>
    <n v="0.15"/>
    <s v="Valid"/>
    <n v="6485.3639999999996"/>
    <x v="314"/>
    <n v="0.17103033846673826"/>
    <x v="4"/>
    <x v="1"/>
    <s v="Invalid"/>
  </r>
  <r>
    <s v="ORD-2025-10171"/>
    <d v="2025-09-07T00:00:00"/>
    <d v="2025-09-15T00:00:00"/>
    <s v="CUST-3734"/>
    <s v="Rohan Mehta"/>
    <x v="2"/>
    <x v="1"/>
    <s v="Bihar"/>
    <s v="Patna"/>
    <x v="2"/>
    <x v="6"/>
    <s v="Eco Copiers 102"/>
    <x v="3"/>
    <n v="3"/>
    <n v="1711.32"/>
    <n v="0"/>
    <n v="5206.53"/>
    <n v="3930"/>
    <n v="1203.96"/>
    <s v="Paid"/>
    <x v="2"/>
    <s v="OK"/>
    <s v="OK"/>
    <s v="OK"/>
    <s v="OK"/>
    <n v="8"/>
    <s v="Conflicting Duplicate - Manual Review Required"/>
    <n v="0"/>
    <s v="Valid"/>
    <n v="5133.96"/>
    <x v="170"/>
    <n v="0.23450903396208775"/>
    <x v="7"/>
    <x v="1"/>
    <s v="Invalid"/>
  </r>
  <r>
    <s v="ORD-2024-10424"/>
    <d v="2024-02-20T00:00:00"/>
    <d v="2024-02-27T00:00:00"/>
    <s v="CUST-6169"/>
    <s v="Diya Patel"/>
    <x v="0"/>
    <x v="2"/>
    <s v="Kerala"/>
    <s v="Kochi"/>
    <x v="2"/>
    <x v="5"/>
    <s v="Prime Accessories 236"/>
    <x v="2"/>
    <n v="9"/>
    <n v="3779.31"/>
    <n v="0.2"/>
    <n v="27322.9"/>
    <n v="17940.43"/>
    <n v="9270.6"/>
    <s v="Paid"/>
    <x v="2"/>
    <s v="OK"/>
    <s v="OK"/>
    <s v="OK"/>
    <s v="OK"/>
    <n v="7"/>
    <s v="Conflicting Duplicate - Manual Review Required"/>
    <n v="0.2"/>
    <s v="Valid"/>
    <n v="27211.032000000003"/>
    <x v="423"/>
    <n v="0.34069277490100347"/>
    <x v="6"/>
    <x v="0"/>
    <s v="Invalid"/>
  </r>
  <r>
    <s v="ORD-2025-10572"/>
    <d v="2025-02-10T00:00:00"/>
    <d v="2025-02-14T00:00:00"/>
    <s v="CUST-3425"/>
    <s v="Priya Menon"/>
    <x v="1"/>
    <x v="0"/>
    <s v="Uttar Pradesh"/>
    <s v="Noida"/>
    <x v="2"/>
    <x v="11"/>
    <s v="Prime Phones 895"/>
    <x v="4"/>
    <n v="5"/>
    <n v="4276.29"/>
    <n v="0"/>
    <n v="21443.63"/>
    <n v="13240.21"/>
    <n v="8141.24"/>
    <s v="Failed"/>
    <x v="0"/>
    <s v="OK"/>
    <s v="OK"/>
    <s v="OK"/>
    <s v="OK"/>
    <n v="4"/>
    <s v="Conflicting Duplicate - Manual Review Required"/>
    <n v="0"/>
    <s v="Valid"/>
    <n v="21381.45"/>
    <x v="571"/>
    <n v="0.38076182859441249"/>
    <x v="6"/>
    <x v="1"/>
    <s v="Invalid"/>
  </r>
  <r>
    <s v="ORD-2024-10143"/>
    <d v="2024-03-30T00:00:00"/>
    <d v="2024-03-26T00:00:00"/>
    <s v="CUST-8944"/>
    <s v="Aditi Sen"/>
    <x v="3"/>
    <x v="0"/>
    <s v="Rajasthan"/>
    <s v="Jaipur"/>
    <x v="2"/>
    <x v="11"/>
    <s v="Classic Phones 142"/>
    <x v="0"/>
    <n v="5"/>
    <n v="907.54"/>
    <n v="0.15"/>
    <n v="4099.6899999999996"/>
    <n v="2769.26"/>
    <n v="1087.78"/>
    <s v="Paid"/>
    <x v="2"/>
    <s v="OK"/>
    <s v="OK"/>
    <s v="OK"/>
    <s v="Invalid: Ship Before Order"/>
    <n v="-4"/>
    <s v="Conflicting Duplicate - Manual Review Required"/>
    <n v="0.15"/>
    <s v="Valid"/>
    <n v="3857.0449999999996"/>
    <x v="142"/>
    <n v="0.28202548842442843"/>
    <x v="11"/>
    <x v="0"/>
    <s v="Invalid"/>
  </r>
  <r>
    <s v="ORD-2024-10273"/>
    <d v="2024-08-18T00:00:00"/>
    <d v="2024-08-24T00:00:00"/>
    <s v="CUST-7389"/>
    <s v="Arjun Bose"/>
    <x v="0"/>
    <x v="2"/>
    <s v="Andhra Pradesh"/>
    <s v="Vijayawada"/>
    <x v="1"/>
    <x v="4"/>
    <s v="Eco Chairs 314"/>
    <x v="2"/>
    <n v="7"/>
    <n v="557.21"/>
    <n v="0.1"/>
    <n v="3797.79"/>
    <n v="2191.5"/>
    <n v="1213.48"/>
    <s v="Paid"/>
    <x v="2"/>
    <s v="OK"/>
    <s v="OK"/>
    <s v="OK"/>
    <s v="OK"/>
    <n v="6"/>
    <s v="Conflicting Duplicate - Manual Review Required"/>
    <n v="0.1"/>
    <s v="Valid"/>
    <n v="3510.4230000000002"/>
    <x v="272"/>
    <n v="0.37571625983535323"/>
    <x v="1"/>
    <x v="0"/>
    <s v="Invalid"/>
  </r>
  <r>
    <s v="ORD-2024-10124"/>
    <d v="2024-05-24T00:00:00"/>
    <d v="2024-05-25T00:00:00"/>
    <s v="CUST-1007"/>
    <s v="Sneha Kapoor"/>
    <x v="1"/>
    <x v="0"/>
    <s v="Punjab"/>
    <s v="Ludhiana"/>
    <x v="2"/>
    <x v="6"/>
    <s v="Max Copiers 970"/>
    <x v="1"/>
    <n v="1"/>
    <n v="634.13"/>
    <n v="0"/>
    <n v="808.67"/>
    <n v="453.35"/>
    <n v="180.78"/>
    <s v="Refunded"/>
    <x v="2"/>
    <s v="OK"/>
    <s v="OK"/>
    <s v="OK"/>
    <s v="OK"/>
    <n v="1"/>
    <s v="Conflicting Duplicate - Manual Review Required"/>
    <n v="0"/>
    <s v="Valid"/>
    <n v="634.13"/>
    <x v="123"/>
    <n v="0.28508350022865969"/>
    <x v="4"/>
    <x v="0"/>
    <s v="Invalid"/>
  </r>
  <r>
    <s v="ORD-2025-10336"/>
    <d v="2025-06-16T00:00:00"/>
    <d v="2025-06-18T00:00:00"/>
    <s v="CUST-3621"/>
    <s v="Rahul Verma"/>
    <x v="3"/>
    <x v="3"/>
    <s v="Madhya Pradesh"/>
    <s v="Indore"/>
    <x v="0"/>
    <x v="0"/>
    <s v="Prime Paper 559"/>
    <x v="2"/>
    <n v="3"/>
    <n v="4289.37"/>
    <n v="0.1"/>
    <n v="11778.71"/>
    <n v="6829.43"/>
    <n v="4751.87"/>
    <s v="Paid"/>
    <x v="2"/>
    <s v="OK"/>
    <s v="OK"/>
    <s v="OK"/>
    <s v="OK"/>
    <n v="2"/>
    <s v="Conflicting Duplicate - Manual Review Required"/>
    <n v="0.1"/>
    <s v="Valid"/>
    <n v="11581.299000000001"/>
    <x v="335"/>
    <n v="0.41030535521101735"/>
    <x v="2"/>
    <x v="1"/>
    <s v="Invali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CA6582-891F-4BF2-864E-1C4DA9FDDA37}" name="PivotTable1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3:D8" firstHeaderRow="0" firstDataRow="1" firstDataCol="1"/>
  <pivotFields count="36">
    <pivotField showAll="0"/>
    <pivotField numFmtId="164" showAll="0"/>
    <pivotField numFmtId="164" showAll="0"/>
    <pivotField showAll="0"/>
    <pivotField showAll="0"/>
    <pivotField showAll="0"/>
    <pivotField axis="axisRow" showAll="0" sortType="descending">
      <items count="6">
        <item x="1"/>
        <item x="0"/>
        <item x="2"/>
        <item h="1"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5">
    <i>
      <x v="2"/>
    </i>
    <i>
      <x/>
    </i>
    <i>
      <x v="1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29" baseField="6" baseItem="0" numFmtId="4"/>
    <dataField name="Total Profit" fld="30" baseField="6" baseItem="0" numFmtId="4"/>
    <dataField name=" Profit Margin %" fld="35" baseField="6" baseItem="2" numFmtId="10"/>
  </dataFields>
  <formats count="4">
    <format dxfId="6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A8AB32-8B3E-495A-A681-5AD92C5D0E8F}" name="PivotTable2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3:C20" firstHeaderRow="0" firstDataRow="1" firstDataCol="1"/>
  <pivotFields count="36"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>
      <items count="901">
        <item x="500"/>
        <item x="117"/>
        <item x="191"/>
        <item x="238"/>
        <item x="605"/>
        <item x="481"/>
        <item x="293"/>
        <item x="707"/>
        <item x="305"/>
        <item x="685"/>
        <item x="679"/>
        <item x="552"/>
        <item x="320"/>
        <item x="2"/>
        <item x="219"/>
        <item x="533"/>
        <item x="666"/>
        <item x="820"/>
        <item x="246"/>
        <item x="212"/>
        <item x="713"/>
        <item x="531"/>
        <item x="847"/>
        <item x="448"/>
        <item x="29"/>
        <item x="489"/>
        <item x="543"/>
        <item x="232"/>
        <item x="827"/>
        <item x="319"/>
        <item x="214"/>
        <item x="432"/>
        <item x="122"/>
        <item x="206"/>
        <item x="391"/>
        <item x="203"/>
        <item x="404"/>
        <item x="580"/>
        <item x="892"/>
        <item x="60"/>
        <item x="703"/>
        <item x="123"/>
        <item x="57"/>
        <item x="687"/>
        <item x="659"/>
        <item x="61"/>
        <item x="265"/>
        <item x="130"/>
        <item x="12"/>
        <item x="562"/>
        <item x="548"/>
        <item x="836"/>
        <item x="848"/>
        <item x="105"/>
        <item x="267"/>
        <item x="589"/>
        <item x="498"/>
        <item x="573"/>
        <item x="584"/>
        <item x="396"/>
        <item x="781"/>
        <item x="724"/>
        <item x="85"/>
        <item x="483"/>
        <item x="851"/>
        <item x="185"/>
        <item x="115"/>
        <item x="83"/>
        <item x="330"/>
        <item x="560"/>
        <item x="893"/>
        <item x="625"/>
        <item x="816"/>
        <item x="362"/>
        <item x="324"/>
        <item x="108"/>
        <item x="275"/>
        <item x="782"/>
        <item x="298"/>
        <item x="150"/>
        <item x="640"/>
        <item x="173"/>
        <item x="767"/>
        <item x="356"/>
        <item x="506"/>
        <item x="473"/>
        <item x="208"/>
        <item x="119"/>
        <item x="375"/>
        <item x="780"/>
        <item x="654"/>
        <item x="674"/>
        <item x="695"/>
        <item x="749"/>
        <item x="204"/>
        <item x="435"/>
        <item x="132"/>
        <item x="387"/>
        <item x="730"/>
        <item x="476"/>
        <item x="804"/>
        <item x="805"/>
        <item x="198"/>
        <item x="438"/>
        <item x="497"/>
        <item x="419"/>
        <item x="754"/>
        <item x="537"/>
        <item x="885"/>
        <item x="639"/>
        <item x="70"/>
        <item x="664"/>
        <item x="743"/>
        <item x="619"/>
        <item x="303"/>
        <item x="646"/>
        <item x="784"/>
        <item x="564"/>
        <item x="561"/>
        <item x="33"/>
        <item x="190"/>
        <item x="883"/>
        <item x="241"/>
        <item x="223"/>
        <item x="134"/>
        <item x="668"/>
        <item x="116"/>
        <item x="469"/>
        <item x="168"/>
        <item x="218"/>
        <item x="425"/>
        <item x="111"/>
        <item x="783"/>
        <item x="706"/>
        <item x="526"/>
        <item x="411"/>
        <item x="120"/>
        <item x="368"/>
        <item x="412"/>
        <item x="633"/>
        <item x="227"/>
        <item x="567"/>
        <item x="704"/>
        <item x="539"/>
        <item x="597"/>
        <item x="579"/>
        <item x="853"/>
        <item x="166"/>
        <item x="269"/>
        <item x="55"/>
        <item x="765"/>
        <item x="7"/>
        <item x="838"/>
        <item x="439"/>
        <item x="74"/>
        <item x="462"/>
        <item x="516"/>
        <item x="131"/>
        <item x="84"/>
        <item x="357"/>
        <item x="786"/>
        <item x="807"/>
        <item x="261"/>
        <item x="587"/>
        <item x="690"/>
        <item x="398"/>
        <item x="409"/>
        <item x="745"/>
        <item x="896"/>
        <item x="598"/>
        <item x="154"/>
        <item x="290"/>
        <item x="661"/>
        <item x="420"/>
        <item x="494"/>
        <item x="799"/>
        <item x="393"/>
        <item x="463"/>
        <item x="520"/>
        <item x="667"/>
        <item x="252"/>
        <item x="311"/>
        <item x="849"/>
        <item x="491"/>
        <item x="161"/>
        <item x="657"/>
        <item x="577"/>
        <item x="753"/>
        <item x="823"/>
        <item x="472"/>
        <item x="160"/>
        <item x="428"/>
        <item x="758"/>
        <item x="196"/>
        <item x="207"/>
        <item x="184"/>
        <item x="114"/>
        <item x="64"/>
        <item x="572"/>
        <item x="109"/>
        <item x="308"/>
        <item x="283"/>
        <item x="421"/>
        <item x="28"/>
        <item x="651"/>
        <item x="490"/>
        <item x="575"/>
        <item x="611"/>
        <item x="377"/>
        <item x="113"/>
        <item x="277"/>
        <item x="728"/>
        <item x="164"/>
        <item x="748"/>
        <item x="442"/>
        <item x="867"/>
        <item x="868"/>
        <item x="239"/>
        <item x="385"/>
        <item x="566"/>
        <item x="599"/>
        <item x="205"/>
        <item x="856"/>
        <item x="627"/>
        <item x="157"/>
        <item x="702"/>
        <item x="226"/>
        <item x="445"/>
        <item x="492"/>
        <item x="583"/>
        <item x="50"/>
        <item x="825"/>
        <item x="568"/>
        <item x="91"/>
        <item x="738"/>
        <item x="810"/>
        <item x="86"/>
        <item x="88"/>
        <item x="814"/>
        <item x="37"/>
        <item x="321"/>
        <item x="790"/>
        <item x="416"/>
        <item x="772"/>
        <item x="877"/>
        <item x="430"/>
        <item x="270"/>
        <item x="737"/>
        <item x="443"/>
        <item x="834"/>
        <item x="77"/>
        <item x="225"/>
        <item x="628"/>
        <item x="895"/>
        <item x="5"/>
        <item x="808"/>
        <item x="736"/>
        <item x="855"/>
        <item x="333"/>
        <item x="610"/>
        <item x="785"/>
        <item x="49"/>
        <item x="128"/>
        <item x="899"/>
        <item x="806"/>
        <item x="778"/>
        <item x="147"/>
        <item x="482"/>
        <item x="465"/>
        <item x="850"/>
        <item x="26"/>
        <item x="716"/>
        <item x="718"/>
        <item x="792"/>
        <item x="898"/>
        <item x="770"/>
        <item x="563"/>
        <item x="345"/>
        <item x="30"/>
        <item x="675"/>
        <item x="813"/>
        <item x="142"/>
        <item x="502"/>
        <item x="811"/>
        <item x="314"/>
        <item x="351"/>
        <item x="6"/>
        <item x="735"/>
        <item x="815"/>
        <item x="762"/>
        <item x="141"/>
        <item x="248"/>
        <item x="582"/>
        <item x="523"/>
        <item x="103"/>
        <item x="143"/>
        <item x="884"/>
        <item x="468"/>
        <item x="316"/>
        <item x="897"/>
        <item x="228"/>
        <item x="479"/>
        <item x="210"/>
        <item x="268"/>
        <item x="607"/>
        <item x="434"/>
        <item x="384"/>
        <item x="217"/>
        <item x="170"/>
        <item x="433"/>
        <item x="889"/>
        <item x="554"/>
        <item x="289"/>
        <item x="251"/>
        <item x="258"/>
        <item x="399"/>
        <item x="586"/>
        <item x="402"/>
        <item x="341"/>
        <item x="437"/>
        <item x="844"/>
        <item x="43"/>
        <item x="272"/>
        <item x="397"/>
        <item x="615"/>
        <item x="96"/>
        <item x="221"/>
        <item x="574"/>
        <item x="383"/>
        <item x="18"/>
        <item x="495"/>
        <item x="124"/>
        <item x="459"/>
        <item x="604"/>
        <item x="282"/>
        <item x="257"/>
        <item x="455"/>
        <item x="279"/>
        <item x="556"/>
        <item x="542"/>
        <item x="21"/>
        <item x="327"/>
        <item x="337"/>
        <item x="422"/>
        <item x="376"/>
        <item x="54"/>
        <item x="696"/>
        <item x="65"/>
        <item x="14"/>
        <item x="689"/>
        <item x="242"/>
        <item x="710"/>
        <item x="373"/>
        <item x="135"/>
        <item x="188"/>
        <item x="152"/>
        <item x="486"/>
        <item x="751"/>
        <item x="3"/>
        <item x="719"/>
        <item x="777"/>
        <item x="243"/>
        <item x="192"/>
        <item x="648"/>
        <item x="39"/>
        <item x="461"/>
        <item x="358"/>
        <item x="511"/>
        <item x="11"/>
        <item x="284"/>
        <item x="510"/>
        <item x="879"/>
        <item x="22"/>
        <item x="158"/>
        <item x="822"/>
        <item x="395"/>
        <item x="302"/>
        <item x="839"/>
        <item x="278"/>
        <item x="612"/>
        <item x="699"/>
        <item x="840"/>
        <item x="431"/>
        <item x="363"/>
        <item x="620"/>
        <item x="95"/>
        <item x="709"/>
        <item x="234"/>
        <item x="630"/>
        <item x="711"/>
        <item x="182"/>
        <item x="51"/>
        <item x="756"/>
        <item x="126"/>
        <item x="803"/>
        <item x="80"/>
        <item x="821"/>
        <item x="313"/>
        <item x="63"/>
        <item x="332"/>
        <item x="99"/>
        <item x="722"/>
        <item x="471"/>
        <item x="480"/>
        <item x="681"/>
        <item x="347"/>
        <item x="155"/>
        <item x="513"/>
        <item x="873"/>
        <item x="487"/>
        <item x="669"/>
        <item x="860"/>
        <item x="400"/>
        <item x="518"/>
        <item x="701"/>
        <item x="110"/>
        <item x="744"/>
        <item x="757"/>
        <item x="194"/>
        <item x="888"/>
        <item x="451"/>
        <item x="118"/>
        <item x="253"/>
        <item x="869"/>
        <item x="286"/>
        <item x="755"/>
        <item x="202"/>
        <item x="23"/>
        <item x="291"/>
        <item x="297"/>
        <item x="637"/>
        <item x="600"/>
        <item x="52"/>
        <item x="549"/>
        <item x="694"/>
        <item x="287"/>
        <item x="829"/>
        <item x="857"/>
        <item x="359"/>
        <item x="746"/>
        <item x="169"/>
        <item x="195"/>
        <item x="801"/>
        <item x="686"/>
        <item x="863"/>
        <item x="271"/>
        <item x="665"/>
        <item x="40"/>
        <item x="27"/>
        <item x="382"/>
        <item x="485"/>
        <item x="244"/>
        <item x="618"/>
        <item x="264"/>
        <item x="553"/>
        <item x="697"/>
        <item x="140"/>
        <item x="350"/>
        <item x="621"/>
        <item x="787"/>
        <item x="507"/>
        <item x="424"/>
        <item x="862"/>
        <item x="474"/>
        <item x="369"/>
        <item x="535"/>
        <item x="565"/>
        <item x="364"/>
        <item x="436"/>
        <item x="407"/>
        <item x="594"/>
        <item x="82"/>
        <item x="230"/>
        <item x="127"/>
        <item x="406"/>
        <item x="78"/>
        <item x="180"/>
        <item x="809"/>
        <item x="53"/>
        <item x="106"/>
        <item x="104"/>
        <item x="662"/>
        <item x="401"/>
        <item x="34"/>
        <item x="389"/>
        <item x="842"/>
        <item x="890"/>
        <item x="865"/>
        <item x="9"/>
        <item x="555"/>
        <item x="151"/>
        <item x="209"/>
        <item x="25"/>
        <item x="415"/>
        <item x="846"/>
        <item x="683"/>
        <item x="178"/>
        <item x="864"/>
        <item x="1"/>
        <item x="794"/>
        <item x="66"/>
        <item x="81"/>
        <item x="250"/>
        <item x="761"/>
        <item x="247"/>
        <item x="453"/>
        <item x="254"/>
        <item x="372"/>
        <item x="102"/>
        <item x="477"/>
        <item x="187"/>
        <item x="408"/>
        <item x="288"/>
        <item x="878"/>
        <item x="388"/>
        <item x="606"/>
        <item x="75"/>
        <item x="551"/>
        <item x="570"/>
        <item x="880"/>
        <item x="24"/>
        <item x="626"/>
        <item x="534"/>
        <item x="213"/>
        <item x="148"/>
        <item x="301"/>
        <item x="76"/>
        <item x="410"/>
        <item x="41"/>
        <item x="692"/>
        <item x="470"/>
        <item x="670"/>
        <item x="826"/>
        <item x="517"/>
        <item x="512"/>
        <item x="734"/>
        <item x="515"/>
        <item x="726"/>
        <item x="632"/>
        <item x="390"/>
        <item x="488"/>
        <item x="484"/>
        <item x="36"/>
        <item x="569"/>
        <item x="73"/>
        <item x="740"/>
        <item x="318"/>
        <item x="680"/>
        <item x="882"/>
        <item x="328"/>
        <item x="720"/>
        <item x="636"/>
        <item x="830"/>
        <item x="712"/>
        <item x="623"/>
        <item x="378"/>
        <item x="641"/>
        <item x="266"/>
        <item x="201"/>
        <item x="601"/>
        <item x="837"/>
        <item x="504"/>
        <item x="541"/>
        <item x="56"/>
        <item x="688"/>
        <item x="677"/>
        <item x="17"/>
        <item x="649"/>
        <item x="42"/>
        <item x="304"/>
        <item x="322"/>
        <item x="366"/>
        <item x="496"/>
        <item x="624"/>
        <item x="769"/>
        <item x="774"/>
        <item x="129"/>
        <item x="700"/>
        <item x="4"/>
        <item x="638"/>
        <item x="229"/>
        <item x="742"/>
        <item x="508"/>
        <item x="872"/>
        <item x="379"/>
        <item x="797"/>
        <item x="371"/>
        <item x="464"/>
        <item x="163"/>
        <item x="0"/>
        <item x="458"/>
        <item x="69"/>
        <item x="854"/>
        <item x="773"/>
        <item x="741"/>
        <item x="642"/>
        <item x="249"/>
        <item x="521"/>
        <item x="708"/>
        <item x="197"/>
        <item x="644"/>
        <item x="752"/>
        <item x="107"/>
        <item x="457"/>
        <item x="796"/>
        <item x="721"/>
        <item x="193"/>
        <item x="595"/>
        <item x="768"/>
        <item x="216"/>
        <item x="802"/>
        <item x="544"/>
        <item x="779"/>
        <item x="38"/>
        <item x="503"/>
        <item x="550"/>
        <item x="346"/>
        <item x="342"/>
        <item x="255"/>
        <item x="655"/>
        <item x="220"/>
        <item x="174"/>
        <item x="817"/>
        <item x="365"/>
        <item x="59"/>
        <item x="764"/>
        <item x="295"/>
        <item x="647"/>
        <item x="72"/>
        <item x="334"/>
        <item x="336"/>
        <item x="380"/>
        <item x="682"/>
        <item x="691"/>
        <item x="137"/>
        <item x="325"/>
        <item x="812"/>
        <item x="323"/>
        <item x="200"/>
        <item x="729"/>
        <item x="527"/>
        <item x="614"/>
        <item x="139"/>
        <item x="35"/>
        <item x="545"/>
        <item x="299"/>
        <item x="280"/>
        <item x="693"/>
        <item x="165"/>
        <item x="622"/>
        <item x="429"/>
        <item x="186"/>
        <item x="467"/>
        <item x="656"/>
        <item x="90"/>
        <item x="739"/>
        <item x="326"/>
        <item x="98"/>
        <item x="414"/>
        <item x="499"/>
        <item x="546"/>
        <item x="360"/>
        <item x="750"/>
        <item x="100"/>
        <item x="576"/>
        <item x="698"/>
        <item x="146"/>
        <item x="10"/>
        <item x="452"/>
        <item x="179"/>
        <item x="723"/>
        <item x="13"/>
        <item x="235"/>
        <item x="791"/>
        <item x="634"/>
        <item x="211"/>
        <item x="672"/>
        <item x="493"/>
        <item x="501"/>
        <item x="181"/>
        <item x="460"/>
        <item x="529"/>
        <item x="352"/>
        <item x="505"/>
        <item x="331"/>
        <item x="149"/>
        <item x="525"/>
        <item x="231"/>
        <item x="370"/>
        <item x="16"/>
        <item x="260"/>
        <item x="617"/>
        <item x="349"/>
        <item x="245"/>
        <item x="466"/>
        <item x="112"/>
        <item x="835"/>
        <item x="144"/>
        <item x="763"/>
        <item x="199"/>
        <item x="475"/>
        <item x="715"/>
        <item x="891"/>
        <item x="101"/>
        <item x="858"/>
        <item x="747"/>
        <item x="456"/>
        <item x="540"/>
        <item x="32"/>
        <item x="353"/>
        <item x="800"/>
        <item x="71"/>
        <item x="441"/>
        <item x="183"/>
        <item x="338"/>
        <item x="591"/>
        <item x="306"/>
        <item x="413"/>
        <item x="171"/>
        <item x="705"/>
        <item x="861"/>
        <item x="58"/>
        <item x="789"/>
        <item x="590"/>
        <item x="714"/>
        <item x="663"/>
        <item x="335"/>
        <item x="629"/>
        <item x="824"/>
        <item x="262"/>
        <item x="233"/>
        <item x="348"/>
        <item x="175"/>
        <item x="367"/>
        <item x="125"/>
        <item x="870"/>
        <item x="547"/>
        <item x="771"/>
        <item x="454"/>
        <item x="94"/>
        <item x="519"/>
        <item x="224"/>
        <item x="47"/>
        <item x="281"/>
        <item x="145"/>
        <item x="558"/>
        <item x="538"/>
        <item x="841"/>
        <item x="559"/>
        <item x="596"/>
        <item x="167"/>
        <item x="67"/>
        <item x="609"/>
        <item x="449"/>
        <item x="578"/>
        <item x="676"/>
        <item x="673"/>
        <item x="156"/>
        <item x="602"/>
        <item x="46"/>
        <item x="450"/>
        <item x="645"/>
        <item x="759"/>
        <item x="731"/>
        <item x="866"/>
        <item x="833"/>
        <item x="97"/>
        <item x="585"/>
        <item x="121"/>
        <item x="798"/>
        <item x="386"/>
        <item x="440"/>
        <item x="309"/>
        <item x="650"/>
        <item x="381"/>
        <item x="236"/>
        <item x="760"/>
        <item x="285"/>
        <item x="653"/>
        <item x="635"/>
        <item x="509"/>
        <item x="886"/>
        <item x="133"/>
        <item x="793"/>
        <item x="274"/>
        <item x="732"/>
        <item x="405"/>
        <item x="374"/>
        <item x="530"/>
        <item x="19"/>
        <item x="876"/>
        <item x="581"/>
        <item x="788"/>
        <item x="403"/>
        <item x="394"/>
        <item x="725"/>
        <item x="294"/>
        <item x="355"/>
        <item x="887"/>
        <item x="418"/>
        <item x="329"/>
        <item x="660"/>
        <item x="20"/>
        <item x="310"/>
        <item x="717"/>
        <item x="340"/>
        <item x="875"/>
        <item x="240"/>
        <item x="92"/>
        <item x="296"/>
        <item x="616"/>
        <item x="819"/>
        <item x="871"/>
        <item x="652"/>
        <item x="153"/>
        <item x="845"/>
        <item x="557"/>
        <item x="658"/>
        <item x="256"/>
        <item x="273"/>
        <item x="417"/>
        <item x="766"/>
        <item x="684"/>
        <item x="237"/>
        <item x="592"/>
        <item x="48"/>
        <item x="881"/>
        <item x="536"/>
        <item x="608"/>
        <item x="8"/>
        <item x="259"/>
        <item x="172"/>
        <item x="87"/>
        <item x="444"/>
        <item x="532"/>
        <item x="818"/>
        <item x="613"/>
        <item x="447"/>
        <item x="15"/>
        <item x="222"/>
        <item x="571"/>
        <item x="159"/>
        <item x="528"/>
        <item x="215"/>
        <item x="317"/>
        <item x="62"/>
        <item x="354"/>
        <item x="339"/>
        <item x="603"/>
        <item x="522"/>
        <item x="426"/>
        <item x="79"/>
        <item x="859"/>
        <item x="894"/>
        <item x="93"/>
        <item x="427"/>
        <item x="631"/>
        <item x="68"/>
        <item x="89"/>
        <item x="727"/>
        <item x="292"/>
        <item x="874"/>
        <item x="795"/>
        <item x="776"/>
        <item x="514"/>
        <item x="423"/>
        <item x="162"/>
        <item x="300"/>
        <item x="678"/>
        <item x="852"/>
        <item x="44"/>
        <item x="136"/>
        <item x="733"/>
        <item x="775"/>
        <item x="138"/>
        <item x="643"/>
        <item x="31"/>
        <item x="177"/>
        <item x="446"/>
        <item x="263"/>
        <item x="176"/>
        <item x="307"/>
        <item x="831"/>
        <item x="312"/>
        <item x="832"/>
        <item x="344"/>
        <item x="828"/>
        <item x="588"/>
        <item x="478"/>
        <item x="315"/>
        <item x="392"/>
        <item x="593"/>
        <item x="524"/>
        <item x="45"/>
        <item x="843"/>
        <item x="189"/>
        <item x="343"/>
        <item x="671"/>
        <item x="276"/>
        <item x="361"/>
        <item t="default"/>
      </items>
    </pivotField>
    <pivotField showAll="0"/>
    <pivotField showAll="0"/>
    <pivotField showAll="0"/>
    <pivotField showAll="0"/>
    <pivotField dragToRow="0" dragToCol="0" dragToPage="0" showAll="0" defaultSubtotal="0"/>
  </pivotFields>
  <rowFields count="2">
    <field x="9"/>
    <field x="10"/>
  </rowFields>
  <rowItems count="17">
    <i>
      <x/>
    </i>
    <i r="1">
      <x v="3"/>
    </i>
    <i r="1">
      <x v="4"/>
    </i>
    <i r="1">
      <x v="6"/>
    </i>
    <i r="1">
      <x v="12"/>
    </i>
    <i>
      <x v="2"/>
    </i>
    <i r="1">
      <x/>
    </i>
    <i r="1">
      <x v="5"/>
    </i>
    <i r="1">
      <x v="8"/>
    </i>
    <i r="1">
      <x v="10"/>
    </i>
    <i>
      <x v="1"/>
    </i>
    <i r="1">
      <x v="1"/>
    </i>
    <i r="1">
      <x v="2"/>
    </i>
    <i r="1">
      <x v="7"/>
    </i>
    <i r="1">
      <x v="9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29" baseField="9" baseItem="0"/>
    <dataField name="Total profit" fld="30" baseField="9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9E96ED-441C-4538-9512-3F0A22B4CBB2}" name="PivotTable3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hip Mode">
  <location ref="A3:B9" firstHeaderRow="1" firstDataRow="1" firstDataCol="1"/>
  <pivotFields count="36">
    <pivotField dataField="1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1"/>
        <item x="0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2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Order Count" fld="0" subtotal="count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5C357C-D9E0-45F2-8677-7C7E841891F6}" name="PivotTable4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gment">
  <location ref="A3:C8" firstHeaderRow="0" firstDataRow="1" firstDataCol="1"/>
  <pivotFields count="36">
    <pivotField showAll="0"/>
    <pivotField numFmtId="164" showAll="0"/>
    <pivotField numFmtId="164"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profit" fld="30" baseField="5" baseItem="0"/>
    <dataField name="Total sales" fld="29" baseField="5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2E7DFE-BDE0-4BE5-A254-F4DEC20CAA55}" name="PivotTable5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 colHeaderCaption="Order Status">
  <location ref="A3:D10" firstHeaderRow="1" firstDataRow="2" firstDataCol="1"/>
  <pivotFields count="36">
    <pivotField dataField="1" showAll="0"/>
    <pivotField numFmtId="164" showAll="0"/>
    <pivotField numFmtId="164"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h="1"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0"/>
  </colFields>
  <colItems count="3">
    <i>
      <x/>
    </i>
    <i>
      <x v="2"/>
    </i>
    <i t="grand">
      <x/>
    </i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DAD0EF-CDEB-4ECE-94CD-8AC34B1AF4AF}" name="PivotTable6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 Month" colHeaderCaption="Order Year">
  <location ref="A3:D17" firstHeaderRow="1" firstDataRow="2" firstDataCol="1"/>
  <pivotFields count="36"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3">
        <item x="10"/>
        <item x="6"/>
        <item x="11"/>
        <item x="5"/>
        <item x="4"/>
        <item x="2"/>
        <item x="0"/>
        <item x="1"/>
        <item x="7"/>
        <item x="9"/>
        <item x="3"/>
        <item x="8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dragToRow="0" dragToCol="0" dragToPage="0" showAll="0" defaultSubtotal="0"/>
  </pivotFields>
  <rowFields count="1">
    <field x="3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3"/>
  </colFields>
  <colItems count="3">
    <i>
      <x/>
    </i>
    <i>
      <x v="1"/>
    </i>
    <i t="grand">
      <x/>
    </i>
  </colItems>
  <dataFields count="1">
    <dataField name="Total sales" fld="29" baseField="0" baseItem="0" numFmtId="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960CD-4C42-4765-925A-8A858DDB528E}">
  <dimension ref="A1:AI913"/>
  <sheetViews>
    <sheetView topLeftCell="AA1" workbookViewId="0">
      <selection activeCell="AG1" sqref="AG1"/>
    </sheetView>
  </sheetViews>
  <sheetFormatPr defaultRowHeight="13.8"/>
  <cols>
    <col min="1" max="1" width="15.19921875" bestFit="1" customWidth="1"/>
    <col min="2" max="2" width="10.3984375" bestFit="1" customWidth="1"/>
    <col min="3" max="3" width="9.3984375" bestFit="1" customWidth="1"/>
    <col min="4" max="4" width="11.796875" bestFit="1" customWidth="1"/>
    <col min="5" max="5" width="15.19921875" bestFit="1" customWidth="1"/>
    <col min="6" max="6" width="13.19921875" bestFit="1" customWidth="1"/>
    <col min="7" max="7" width="8.3984375" bestFit="1" customWidth="1"/>
    <col min="8" max="8" width="14.59765625" bestFit="1" customWidth="1"/>
    <col min="9" max="9" width="11.8984375" bestFit="1" customWidth="1"/>
    <col min="10" max="10" width="13.09765625" bestFit="1" customWidth="1"/>
    <col min="11" max="11" width="12.796875" bestFit="1" customWidth="1"/>
    <col min="12" max="12" width="20.5" bestFit="1" customWidth="1"/>
    <col min="13" max="13" width="13.296875" bestFit="1" customWidth="1"/>
    <col min="15" max="15" width="9.59765625" bestFit="1" customWidth="1"/>
    <col min="20" max="20" width="15" bestFit="1" customWidth="1"/>
    <col min="21" max="21" width="11.8984375" bestFit="1" customWidth="1"/>
    <col min="22" max="22" width="14.69921875" bestFit="1" customWidth="1"/>
    <col min="23" max="23" width="13.69921875" bestFit="1" customWidth="1"/>
    <col min="24" max="24" width="16.3984375" bestFit="1" customWidth="1"/>
    <col min="25" max="25" width="21.796875" bestFit="1" customWidth="1"/>
    <col min="26" max="26" width="19.59765625" bestFit="1" customWidth="1"/>
    <col min="27" max="27" width="39.69921875" bestFit="1" customWidth="1"/>
    <col min="28" max="28" width="16.3984375" bestFit="1" customWidth="1"/>
    <col min="29" max="29" width="36.3984375" bestFit="1" customWidth="1"/>
    <col min="30" max="31" width="15.5" bestFit="1" customWidth="1"/>
    <col min="32" max="32" width="12.59765625" bestFit="1" customWidth="1"/>
    <col min="33" max="33" width="12.19921875" bestFit="1" customWidth="1"/>
    <col min="34" max="34" width="10.5" bestFit="1" customWidth="1"/>
    <col min="35" max="35" width="15.796875" bestFit="1" customWidth="1"/>
  </cols>
  <sheetData>
    <row r="1" spans="1:35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2783</v>
      </c>
      <c r="W1" s="1" t="s">
        <v>2784</v>
      </c>
      <c r="X1" s="1" t="s">
        <v>2785</v>
      </c>
      <c r="Y1" s="1" t="s">
        <v>2786</v>
      </c>
      <c r="Z1" s="1" t="s">
        <v>2787</v>
      </c>
      <c r="AA1" s="1" t="s">
        <v>2788</v>
      </c>
      <c r="AB1" s="1" t="s">
        <v>2792</v>
      </c>
      <c r="AC1" s="1" t="s">
        <v>2793</v>
      </c>
      <c r="AD1" s="1" t="s">
        <v>2799</v>
      </c>
      <c r="AE1" s="1" t="s">
        <v>2800</v>
      </c>
      <c r="AF1" s="1" t="s">
        <v>2801</v>
      </c>
      <c r="AG1" s="1" t="s">
        <v>2802</v>
      </c>
      <c r="AH1" s="1" t="s">
        <v>2803</v>
      </c>
      <c r="AI1" s="1" t="s">
        <v>2804</v>
      </c>
    </row>
    <row r="2" spans="1:35">
      <c r="A2" t="s">
        <v>21</v>
      </c>
      <c r="B2">
        <v>45494</v>
      </c>
      <c r="C2">
        <v>45500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32</v>
      </c>
      <c r="U2" t="s">
        <v>33</v>
      </c>
      <c r="V2" t="s">
        <v>2834</v>
      </c>
      <c r="W2" t="s">
        <v>2834</v>
      </c>
      <c r="X2" t="s">
        <v>2834</v>
      </c>
      <c r="Y2" t="s">
        <v>2834</v>
      </c>
      <c r="Z2">
        <v>6</v>
      </c>
      <c r="AA2" t="s">
        <v>2789</v>
      </c>
      <c r="AB2">
        <v>0.2</v>
      </c>
      <c r="AC2" t="s">
        <v>2794</v>
      </c>
      <c r="AD2">
        <v>19049.28</v>
      </c>
      <c r="AE2">
        <v>3207.3899999999994</v>
      </c>
      <c r="AF2">
        <v>0.16837329284886357</v>
      </c>
      <c r="AG2" t="s">
        <v>2826</v>
      </c>
      <c r="AH2">
        <v>2024</v>
      </c>
      <c r="AI2" t="s">
        <v>2835</v>
      </c>
    </row>
    <row r="3" spans="1:35">
      <c r="A3" t="s">
        <v>34</v>
      </c>
      <c r="B3">
        <v>45535</v>
      </c>
      <c r="C3">
        <v>45540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32</v>
      </c>
      <c r="U3" t="s">
        <v>33</v>
      </c>
      <c r="V3" t="s">
        <v>2834</v>
      </c>
      <c r="W3" t="s">
        <v>2834</v>
      </c>
      <c r="X3" t="s">
        <v>2834</v>
      </c>
      <c r="Y3" t="s">
        <v>2834</v>
      </c>
      <c r="Z3">
        <v>5</v>
      </c>
      <c r="AA3" t="s">
        <v>2789</v>
      </c>
      <c r="AB3">
        <v>0</v>
      </c>
      <c r="AC3" t="s">
        <v>2794</v>
      </c>
      <c r="AD3">
        <v>7312.5</v>
      </c>
      <c r="AE3">
        <v>2407.7700000000004</v>
      </c>
      <c r="AF3">
        <v>0.32926769230769237</v>
      </c>
      <c r="AG3" t="s">
        <v>2827</v>
      </c>
      <c r="AH3">
        <v>2024</v>
      </c>
      <c r="AI3" t="s">
        <v>2835</v>
      </c>
    </row>
    <row r="4" spans="1:35">
      <c r="A4" t="s">
        <v>45</v>
      </c>
      <c r="B4">
        <v>45451</v>
      </c>
      <c r="C4">
        <v>45458</v>
      </c>
      <c r="D4" t="s">
        <v>46</v>
      </c>
      <c r="E4" t="s">
        <v>47</v>
      </c>
      <c r="F4" t="s">
        <v>24</v>
      </c>
      <c r="G4" t="s">
        <v>38</v>
      </c>
      <c r="H4" t="s">
        <v>39</v>
      </c>
      <c r="I4" t="s">
        <v>40</v>
      </c>
      <c r="J4" t="s">
        <v>28</v>
      </c>
      <c r="K4" t="s">
        <v>48</v>
      </c>
      <c r="L4" t="s">
        <v>49</v>
      </c>
      <c r="M4" t="s">
        <v>50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32</v>
      </c>
      <c r="U4" t="s">
        <v>33</v>
      </c>
      <c r="V4" t="s">
        <v>2834</v>
      </c>
      <c r="W4" t="s">
        <v>2834</v>
      </c>
      <c r="X4" t="s">
        <v>2834</v>
      </c>
      <c r="Y4" t="s">
        <v>2834</v>
      </c>
      <c r="Z4">
        <v>7</v>
      </c>
      <c r="AA4" t="s">
        <v>2789</v>
      </c>
      <c r="AB4">
        <v>0.55000000000000004</v>
      </c>
      <c r="AC4" t="s">
        <v>2794</v>
      </c>
      <c r="AD4">
        <v>1917.7739999999999</v>
      </c>
      <c r="AE4">
        <v>-547.91600000000017</v>
      </c>
      <c r="AF4">
        <v>-0.28570415492127865</v>
      </c>
      <c r="AG4" t="s">
        <v>2825</v>
      </c>
      <c r="AH4">
        <v>2024</v>
      </c>
      <c r="AI4" t="s">
        <v>2835</v>
      </c>
    </row>
    <row r="5" spans="1:35">
      <c r="A5" t="s">
        <v>51</v>
      </c>
      <c r="B5">
        <v>45624</v>
      </c>
      <c r="C5">
        <v>45625</v>
      </c>
      <c r="D5" t="s">
        <v>52</v>
      </c>
      <c r="E5" t="s">
        <v>53</v>
      </c>
      <c r="F5" t="s">
        <v>37</v>
      </c>
      <c r="G5" t="s">
        <v>54</v>
      </c>
      <c r="H5" t="s">
        <v>55</v>
      </c>
      <c r="I5" t="s">
        <v>56</v>
      </c>
      <c r="J5" t="s">
        <v>41</v>
      </c>
      <c r="K5" t="s">
        <v>57</v>
      </c>
      <c r="L5" t="s">
        <v>58</v>
      </c>
      <c r="M5" t="s">
        <v>59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32</v>
      </c>
      <c r="U5" t="s">
        <v>33</v>
      </c>
      <c r="V5" t="s">
        <v>2834</v>
      </c>
      <c r="W5" t="s">
        <v>2834</v>
      </c>
      <c r="X5" t="s">
        <v>2834</v>
      </c>
      <c r="Y5" t="s">
        <v>2834</v>
      </c>
      <c r="Z5">
        <v>1</v>
      </c>
      <c r="AA5" t="s">
        <v>2789</v>
      </c>
      <c r="AB5">
        <v>0.25</v>
      </c>
      <c r="AC5" t="s">
        <v>2794</v>
      </c>
      <c r="AD5">
        <v>8317.9349999999995</v>
      </c>
      <c r="AE5">
        <v>1521.1649999999991</v>
      </c>
      <c r="AF5">
        <v>0.18287772145370204</v>
      </c>
      <c r="AG5" t="s">
        <v>2830</v>
      </c>
      <c r="AH5">
        <v>2024</v>
      </c>
      <c r="AI5" t="s">
        <v>2835</v>
      </c>
    </row>
    <row r="6" spans="1:35">
      <c r="A6" t="s">
        <v>60</v>
      </c>
      <c r="B6">
        <v>45898</v>
      </c>
      <c r="C6">
        <v>45901</v>
      </c>
      <c r="D6" t="s">
        <v>61</v>
      </c>
      <c r="E6" t="s">
        <v>62</v>
      </c>
      <c r="F6" t="s">
        <v>37</v>
      </c>
      <c r="G6" t="s">
        <v>63</v>
      </c>
      <c r="H6" t="s">
        <v>64</v>
      </c>
      <c r="I6" t="s">
        <v>65</v>
      </c>
      <c r="J6" t="s">
        <v>41</v>
      </c>
      <c r="K6" t="s">
        <v>66</v>
      </c>
      <c r="L6" t="s">
        <v>67</v>
      </c>
      <c r="M6" t="s">
        <v>50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32</v>
      </c>
      <c r="U6" t="s">
        <v>68</v>
      </c>
      <c r="V6" t="s">
        <v>2834</v>
      </c>
      <c r="W6" t="s">
        <v>2834</v>
      </c>
      <c r="X6" t="s">
        <v>2834</v>
      </c>
      <c r="Y6" t="s">
        <v>2834</v>
      </c>
      <c r="Z6">
        <v>3</v>
      </c>
      <c r="AA6" t="s">
        <v>2789</v>
      </c>
      <c r="AB6">
        <v>0</v>
      </c>
      <c r="AC6" t="s">
        <v>2794</v>
      </c>
      <c r="AD6">
        <v>20816.32</v>
      </c>
      <c r="AE6">
        <v>3110.9500000000007</v>
      </c>
      <c r="AF6">
        <v>0.14944764492475138</v>
      </c>
      <c r="AG6" t="s">
        <v>2827</v>
      </c>
      <c r="AH6">
        <v>2025</v>
      </c>
      <c r="AI6" t="s">
        <v>2835</v>
      </c>
    </row>
    <row r="7" spans="1:35">
      <c r="A7" t="s">
        <v>69</v>
      </c>
      <c r="B7">
        <v>45436</v>
      </c>
      <c r="C7">
        <v>45440</v>
      </c>
      <c r="D7" t="s">
        <v>70</v>
      </c>
      <c r="E7" t="s">
        <v>71</v>
      </c>
      <c r="F7" t="s">
        <v>37</v>
      </c>
      <c r="G7" t="s">
        <v>63</v>
      </c>
      <c r="H7" t="s">
        <v>72</v>
      </c>
      <c r="I7" t="s">
        <v>73</v>
      </c>
      <c r="J7" t="s">
        <v>74</v>
      </c>
      <c r="K7" t="s">
        <v>75</v>
      </c>
      <c r="L7" t="s">
        <v>76</v>
      </c>
      <c r="M7" t="s">
        <v>44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32</v>
      </c>
      <c r="U7" t="s">
        <v>33</v>
      </c>
      <c r="V7" t="s">
        <v>2834</v>
      </c>
      <c r="W7" t="s">
        <v>2834</v>
      </c>
      <c r="X7" t="s">
        <v>2834</v>
      </c>
      <c r="Y7" t="s">
        <v>2834</v>
      </c>
      <c r="Z7">
        <v>4</v>
      </c>
      <c r="AA7" t="s">
        <v>2789</v>
      </c>
      <c r="AB7">
        <v>0.2</v>
      </c>
      <c r="AC7" t="s">
        <v>2794</v>
      </c>
      <c r="AD7">
        <v>2527.4639999999999</v>
      </c>
      <c r="AE7">
        <v>993.88400000000001</v>
      </c>
      <c r="AF7">
        <v>0.39323369195367375</v>
      </c>
      <c r="AG7" t="s">
        <v>2824</v>
      </c>
      <c r="AH7">
        <v>2024</v>
      </c>
      <c r="AI7" t="s">
        <v>2835</v>
      </c>
    </row>
    <row r="8" spans="1:35">
      <c r="A8" t="s">
        <v>77</v>
      </c>
      <c r="B8">
        <v>45757</v>
      </c>
      <c r="C8">
        <v>45763</v>
      </c>
      <c r="D8" t="s">
        <v>78</v>
      </c>
      <c r="E8" t="s">
        <v>79</v>
      </c>
      <c r="F8" t="s">
        <v>24</v>
      </c>
      <c r="G8" t="s">
        <v>38</v>
      </c>
      <c r="H8" t="s">
        <v>39</v>
      </c>
      <c r="I8" t="s">
        <v>40</v>
      </c>
      <c r="J8" t="s">
        <v>74</v>
      </c>
      <c r="K8" t="s">
        <v>80</v>
      </c>
      <c r="L8" t="s">
        <v>81</v>
      </c>
      <c r="M8" t="s">
        <v>59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32</v>
      </c>
      <c r="U8" t="s">
        <v>33</v>
      </c>
      <c r="V8" t="s">
        <v>2834</v>
      </c>
      <c r="W8" t="s">
        <v>2834</v>
      </c>
      <c r="X8" t="s">
        <v>2834</v>
      </c>
      <c r="Y8" t="s">
        <v>2834</v>
      </c>
      <c r="Z8">
        <v>6</v>
      </c>
      <c r="AA8" t="s">
        <v>2789</v>
      </c>
      <c r="AB8">
        <v>0.15</v>
      </c>
      <c r="AC8" t="s">
        <v>2794</v>
      </c>
      <c r="AD8">
        <v>5847.5579999999991</v>
      </c>
      <c r="AE8">
        <v>1120.3079999999991</v>
      </c>
      <c r="AF8">
        <v>0.19158561573908275</v>
      </c>
      <c r="AG8" t="s">
        <v>2823</v>
      </c>
      <c r="AH8">
        <v>2025</v>
      </c>
      <c r="AI8" t="s">
        <v>2835</v>
      </c>
    </row>
    <row r="9" spans="1:35">
      <c r="A9" t="s">
        <v>82</v>
      </c>
      <c r="B9">
        <v>45711</v>
      </c>
      <c r="C9">
        <v>45714</v>
      </c>
      <c r="D9" t="s">
        <v>83</v>
      </c>
      <c r="E9" t="s">
        <v>47</v>
      </c>
      <c r="F9" t="s">
        <v>37</v>
      </c>
      <c r="G9" t="s">
        <v>54</v>
      </c>
      <c r="H9" t="s">
        <v>84</v>
      </c>
      <c r="I9" t="s">
        <v>85</v>
      </c>
      <c r="J9" t="s">
        <v>28</v>
      </c>
      <c r="K9" t="s">
        <v>48</v>
      </c>
      <c r="L9" t="s">
        <v>86</v>
      </c>
      <c r="M9" t="s">
        <v>50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32</v>
      </c>
      <c r="U9" t="s">
        <v>33</v>
      </c>
      <c r="V9" t="s">
        <v>2834</v>
      </c>
      <c r="W9" t="s">
        <v>2834</v>
      </c>
      <c r="X9" t="s">
        <v>2834</v>
      </c>
      <c r="Y9" t="s">
        <v>2834</v>
      </c>
      <c r="Z9">
        <v>3</v>
      </c>
      <c r="AA9" t="s">
        <v>2789</v>
      </c>
      <c r="AB9">
        <v>0</v>
      </c>
      <c r="AC9" t="s">
        <v>2794</v>
      </c>
      <c r="AD9">
        <v>2980.71</v>
      </c>
      <c r="AE9">
        <v>623.49000000000024</v>
      </c>
      <c r="AF9">
        <v>0.20917499521925992</v>
      </c>
      <c r="AG9" t="s">
        <v>2821</v>
      </c>
      <c r="AH9">
        <v>2025</v>
      </c>
      <c r="AI9" t="s">
        <v>2835</v>
      </c>
    </row>
    <row r="10" spans="1:35">
      <c r="A10" t="s">
        <v>87</v>
      </c>
      <c r="B10">
        <v>45601</v>
      </c>
      <c r="C10">
        <v>45606</v>
      </c>
      <c r="D10" t="s">
        <v>88</v>
      </c>
      <c r="E10" t="s">
        <v>89</v>
      </c>
      <c r="F10" t="s">
        <v>90</v>
      </c>
      <c r="G10" t="s">
        <v>54</v>
      </c>
      <c r="H10" t="s">
        <v>55</v>
      </c>
      <c r="I10" t="s">
        <v>56</v>
      </c>
      <c r="J10" t="s">
        <v>28</v>
      </c>
      <c r="K10" t="s">
        <v>91</v>
      </c>
      <c r="L10" t="s">
        <v>92</v>
      </c>
      <c r="M10" t="s">
        <v>50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32</v>
      </c>
      <c r="U10" t="s">
        <v>33</v>
      </c>
      <c r="V10" t="s">
        <v>2834</v>
      </c>
      <c r="W10" t="s">
        <v>2834</v>
      </c>
      <c r="X10" t="s">
        <v>2834</v>
      </c>
      <c r="Y10" t="s">
        <v>2834</v>
      </c>
      <c r="Z10">
        <v>5</v>
      </c>
      <c r="AA10" t="s">
        <v>2789</v>
      </c>
      <c r="AB10">
        <v>0</v>
      </c>
      <c r="AC10" t="s">
        <v>2794</v>
      </c>
      <c r="AD10">
        <v>25073.599999999999</v>
      </c>
      <c r="AE10">
        <v>7726.369999999999</v>
      </c>
      <c r="AF10">
        <v>0.30814761342607361</v>
      </c>
      <c r="AG10" t="s">
        <v>2830</v>
      </c>
      <c r="AH10">
        <v>2024</v>
      </c>
      <c r="AI10" t="s">
        <v>2835</v>
      </c>
    </row>
    <row r="11" spans="1:35">
      <c r="A11" t="s">
        <v>93</v>
      </c>
      <c r="B11">
        <v>45907</v>
      </c>
      <c r="C11">
        <v>45912</v>
      </c>
      <c r="D11" t="s">
        <v>94</v>
      </c>
      <c r="E11" t="s">
        <v>36</v>
      </c>
      <c r="F11" t="s">
        <v>95</v>
      </c>
      <c r="G11" t="s">
        <v>54</v>
      </c>
      <c r="H11" t="s">
        <v>55</v>
      </c>
      <c r="I11" t="s">
        <v>56</v>
      </c>
      <c r="J11" t="s">
        <v>28</v>
      </c>
      <c r="K11" t="s">
        <v>29</v>
      </c>
      <c r="L11" t="s">
        <v>96</v>
      </c>
      <c r="M11" t="s">
        <v>31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32</v>
      </c>
      <c r="U11" t="s">
        <v>33</v>
      </c>
      <c r="V11" t="s">
        <v>2834</v>
      </c>
      <c r="W11" t="s">
        <v>2834</v>
      </c>
      <c r="X11" t="s">
        <v>2834</v>
      </c>
      <c r="Y11" t="s">
        <v>2834</v>
      </c>
      <c r="Z11">
        <v>5</v>
      </c>
      <c r="AA11" t="s">
        <v>2789</v>
      </c>
      <c r="AB11">
        <v>0.2</v>
      </c>
      <c r="AC11" t="s">
        <v>2794</v>
      </c>
      <c r="AD11">
        <v>6134.6880000000001</v>
      </c>
      <c r="AE11">
        <v>2334.498</v>
      </c>
      <c r="AF11">
        <v>0.38054062407085737</v>
      </c>
      <c r="AG11" t="s">
        <v>2828</v>
      </c>
      <c r="AH11">
        <v>2025</v>
      </c>
      <c r="AI11" t="s">
        <v>2835</v>
      </c>
    </row>
    <row r="12" spans="1:35">
      <c r="A12" t="s">
        <v>97</v>
      </c>
      <c r="B12">
        <v>45797</v>
      </c>
      <c r="C12">
        <v>45797</v>
      </c>
      <c r="D12" t="s">
        <v>98</v>
      </c>
      <c r="E12" t="s">
        <v>62</v>
      </c>
      <c r="F12" t="s">
        <v>90</v>
      </c>
      <c r="G12" t="s">
        <v>38</v>
      </c>
      <c r="H12" t="s">
        <v>99</v>
      </c>
      <c r="I12" t="s">
        <v>100</v>
      </c>
      <c r="J12" t="s">
        <v>28</v>
      </c>
      <c r="K12" t="s">
        <v>91</v>
      </c>
      <c r="L12" t="s">
        <v>101</v>
      </c>
      <c r="M12" t="s">
        <v>31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102</v>
      </c>
      <c r="U12" t="s">
        <v>103</v>
      </c>
      <c r="V12" t="s">
        <v>2834</v>
      </c>
      <c r="W12" t="s">
        <v>2834</v>
      </c>
      <c r="X12" t="s">
        <v>2834</v>
      </c>
      <c r="Y12" t="s">
        <v>2834</v>
      </c>
      <c r="Z12">
        <v>0</v>
      </c>
      <c r="AA12" t="s">
        <v>2789</v>
      </c>
      <c r="AB12">
        <v>0.05</v>
      </c>
      <c r="AC12" t="s">
        <v>2794</v>
      </c>
      <c r="AD12">
        <v>10074.2655</v>
      </c>
      <c r="AE12">
        <v>4025.9954999999991</v>
      </c>
      <c r="AF12">
        <v>0.39963166545491574</v>
      </c>
      <c r="AG12" t="s">
        <v>2824</v>
      </c>
      <c r="AH12">
        <v>2025</v>
      </c>
      <c r="AI12" t="s">
        <v>2835</v>
      </c>
    </row>
    <row r="13" spans="1:35">
      <c r="A13" t="s">
        <v>104</v>
      </c>
      <c r="B13">
        <v>45495</v>
      </c>
      <c r="C13">
        <v>45496</v>
      </c>
      <c r="D13" t="s">
        <v>105</v>
      </c>
      <c r="E13" t="s">
        <v>71</v>
      </c>
      <c r="F13" t="s">
        <v>37</v>
      </c>
      <c r="G13" t="s">
        <v>38</v>
      </c>
      <c r="H13" t="s">
        <v>39</v>
      </c>
      <c r="I13" t="s">
        <v>40</v>
      </c>
      <c r="J13" t="s">
        <v>74</v>
      </c>
      <c r="K13" t="s">
        <v>75</v>
      </c>
      <c r="L13" t="s">
        <v>106</v>
      </c>
      <c r="M13" t="s">
        <v>44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32</v>
      </c>
      <c r="U13" t="s">
        <v>33</v>
      </c>
      <c r="V13" t="s">
        <v>2834</v>
      </c>
      <c r="W13" t="s">
        <v>2834</v>
      </c>
      <c r="X13" t="s">
        <v>2834</v>
      </c>
      <c r="Y13" t="s">
        <v>2834</v>
      </c>
      <c r="Z13">
        <v>1</v>
      </c>
      <c r="AA13" t="s">
        <v>2789</v>
      </c>
      <c r="AB13">
        <v>0.2</v>
      </c>
      <c r="AC13" t="s">
        <v>2794</v>
      </c>
      <c r="AD13">
        <v>9628.5600000000013</v>
      </c>
      <c r="AE13">
        <v>1589.9700000000012</v>
      </c>
      <c r="AF13">
        <v>0.16513061143099289</v>
      </c>
      <c r="AG13" t="s">
        <v>2826</v>
      </c>
      <c r="AH13">
        <v>2024</v>
      </c>
      <c r="AI13" t="s">
        <v>2835</v>
      </c>
    </row>
    <row r="14" spans="1:35">
      <c r="A14" t="s">
        <v>107</v>
      </c>
      <c r="B14">
        <v>45646</v>
      </c>
      <c r="C14">
        <v>45647</v>
      </c>
      <c r="D14" t="s">
        <v>108</v>
      </c>
      <c r="E14" t="s">
        <v>62</v>
      </c>
      <c r="F14" t="s">
        <v>90</v>
      </c>
      <c r="G14" t="s">
        <v>63</v>
      </c>
      <c r="H14" t="s">
        <v>26</v>
      </c>
      <c r="I14" t="s">
        <v>109</v>
      </c>
      <c r="J14" t="s">
        <v>28</v>
      </c>
      <c r="K14" t="s">
        <v>29</v>
      </c>
      <c r="L14" t="s">
        <v>110</v>
      </c>
      <c r="M14" t="s">
        <v>50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111</v>
      </c>
      <c r="U14" t="s">
        <v>103</v>
      </c>
      <c r="V14" t="s">
        <v>2834</v>
      </c>
      <c r="W14" t="s">
        <v>2834</v>
      </c>
      <c r="X14" t="s">
        <v>2834</v>
      </c>
      <c r="Y14" t="s">
        <v>2834</v>
      </c>
      <c r="Z14">
        <v>1</v>
      </c>
      <c r="AA14" t="s">
        <v>2789</v>
      </c>
      <c r="AB14">
        <v>0.15</v>
      </c>
      <c r="AC14" t="s">
        <v>2794</v>
      </c>
      <c r="AD14">
        <v>596.81899999999996</v>
      </c>
      <c r="AE14">
        <v>216.56899999999996</v>
      </c>
      <c r="AF14">
        <v>0.36287216057129545</v>
      </c>
      <c r="AG14" t="s">
        <v>2831</v>
      </c>
      <c r="AH14">
        <v>2024</v>
      </c>
      <c r="AI14" t="s">
        <v>2835</v>
      </c>
    </row>
    <row r="15" spans="1:35">
      <c r="A15" t="s">
        <v>112</v>
      </c>
      <c r="B15">
        <v>45942</v>
      </c>
      <c r="C15">
        <v>45946</v>
      </c>
      <c r="D15" t="s">
        <v>113</v>
      </c>
      <c r="E15" t="s">
        <v>114</v>
      </c>
      <c r="F15" t="s">
        <v>37</v>
      </c>
      <c r="G15" t="s">
        <v>63</v>
      </c>
      <c r="H15" t="s">
        <v>64</v>
      </c>
      <c r="I15" t="s">
        <v>65</v>
      </c>
      <c r="J15" t="s">
        <v>28</v>
      </c>
      <c r="K15" t="s">
        <v>48</v>
      </c>
      <c r="L15" t="s">
        <v>115</v>
      </c>
      <c r="M15" t="s">
        <v>31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32</v>
      </c>
      <c r="U15" t="s">
        <v>33</v>
      </c>
      <c r="V15" t="s">
        <v>2834</v>
      </c>
      <c r="W15" t="s">
        <v>2834</v>
      </c>
      <c r="X15" t="s">
        <v>2834</v>
      </c>
      <c r="Y15" t="s">
        <v>2834</v>
      </c>
      <c r="Z15">
        <v>4</v>
      </c>
      <c r="AA15" t="s">
        <v>2789</v>
      </c>
      <c r="AB15">
        <v>0.05</v>
      </c>
      <c r="AC15" t="s">
        <v>2794</v>
      </c>
      <c r="AD15">
        <v>26365.387999999995</v>
      </c>
      <c r="AE15">
        <v>4059.1479999999938</v>
      </c>
      <c r="AF15">
        <v>0.15395745361304733</v>
      </c>
      <c r="AG15" t="s">
        <v>2829</v>
      </c>
      <c r="AH15">
        <v>2025</v>
      </c>
      <c r="AI15" t="s">
        <v>2835</v>
      </c>
    </row>
    <row r="16" spans="1:35">
      <c r="A16" t="s">
        <v>116</v>
      </c>
      <c r="B16">
        <v>45653</v>
      </c>
      <c r="C16">
        <v>45654</v>
      </c>
      <c r="D16" t="s">
        <v>117</v>
      </c>
      <c r="E16" t="s">
        <v>118</v>
      </c>
      <c r="F16" t="s">
        <v>24</v>
      </c>
      <c r="G16" t="s">
        <v>63</v>
      </c>
      <c r="H16" t="s">
        <v>26</v>
      </c>
      <c r="I16" t="s">
        <v>109</v>
      </c>
      <c r="J16" t="s">
        <v>74</v>
      </c>
      <c r="K16" t="s">
        <v>80</v>
      </c>
      <c r="L16" t="s">
        <v>119</v>
      </c>
      <c r="M16" t="s">
        <v>59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32</v>
      </c>
      <c r="U16" t="s">
        <v>33</v>
      </c>
      <c r="V16" t="s">
        <v>2834</v>
      </c>
      <c r="W16" t="s">
        <v>2834</v>
      </c>
      <c r="X16" t="s">
        <v>2834</v>
      </c>
      <c r="Y16" t="s">
        <v>2834</v>
      </c>
      <c r="Z16">
        <v>1</v>
      </c>
      <c r="AA16" t="s">
        <v>2789</v>
      </c>
      <c r="AB16">
        <v>0.25</v>
      </c>
      <c r="AC16" t="s">
        <v>2794</v>
      </c>
      <c r="AD16">
        <v>4106.7449999999999</v>
      </c>
      <c r="AE16">
        <v>1440.4449999999997</v>
      </c>
      <c r="AF16">
        <v>0.35075102057712365</v>
      </c>
      <c r="AG16" t="s">
        <v>2831</v>
      </c>
      <c r="AH16">
        <v>2024</v>
      </c>
      <c r="AI16" t="s">
        <v>2835</v>
      </c>
    </row>
    <row r="17" spans="1:35">
      <c r="A17" t="s">
        <v>120</v>
      </c>
      <c r="B17">
        <v>45482</v>
      </c>
      <c r="C17">
        <v>45482</v>
      </c>
      <c r="D17" t="s">
        <v>121</v>
      </c>
      <c r="E17" t="s">
        <v>23</v>
      </c>
      <c r="F17" t="s">
        <v>37</v>
      </c>
      <c r="G17" t="s">
        <v>25</v>
      </c>
      <c r="H17" t="s">
        <v>122</v>
      </c>
      <c r="I17" t="s">
        <v>123</v>
      </c>
      <c r="J17" t="s">
        <v>28</v>
      </c>
      <c r="K17" t="s">
        <v>124</v>
      </c>
      <c r="L17" t="s">
        <v>125</v>
      </c>
      <c r="M17" t="s">
        <v>31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32</v>
      </c>
      <c r="U17" t="s">
        <v>33</v>
      </c>
      <c r="V17" t="s">
        <v>2834</v>
      </c>
      <c r="W17" t="s">
        <v>2834</v>
      </c>
      <c r="X17" t="s">
        <v>2834</v>
      </c>
      <c r="Y17" t="s">
        <v>2834</v>
      </c>
      <c r="Z17">
        <v>0</v>
      </c>
      <c r="AA17" t="s">
        <v>2789</v>
      </c>
      <c r="AB17">
        <v>0</v>
      </c>
      <c r="AC17" t="s">
        <v>2794</v>
      </c>
      <c r="AD17">
        <v>23794.560000000001</v>
      </c>
      <c r="AE17">
        <v>8096.090000000002</v>
      </c>
      <c r="AF17">
        <v>0.34024962008122872</v>
      </c>
      <c r="AG17" t="s">
        <v>2826</v>
      </c>
      <c r="AH17">
        <v>2024</v>
      </c>
      <c r="AI17" t="s">
        <v>2835</v>
      </c>
    </row>
    <row r="18" spans="1:35">
      <c r="A18" t="s">
        <v>126</v>
      </c>
      <c r="B18">
        <v>45420</v>
      </c>
      <c r="C18">
        <v>45427</v>
      </c>
      <c r="D18" t="s">
        <v>127</v>
      </c>
      <c r="E18" t="s">
        <v>128</v>
      </c>
      <c r="F18" t="s">
        <v>24</v>
      </c>
      <c r="G18" t="s">
        <v>54</v>
      </c>
      <c r="H18" t="s">
        <v>55</v>
      </c>
      <c r="I18" t="s">
        <v>56</v>
      </c>
      <c r="J18" t="s">
        <v>28</v>
      </c>
      <c r="K18" t="s">
        <v>48</v>
      </c>
      <c r="L18" t="s">
        <v>129</v>
      </c>
      <c r="M18" t="s">
        <v>50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32</v>
      </c>
      <c r="U18" t="s">
        <v>33</v>
      </c>
      <c r="V18" t="s">
        <v>2834</v>
      </c>
      <c r="W18" t="s">
        <v>2834</v>
      </c>
      <c r="X18" t="s">
        <v>2834</v>
      </c>
      <c r="Y18" t="s">
        <v>2834</v>
      </c>
      <c r="Z18">
        <v>7</v>
      </c>
      <c r="AA18" t="s">
        <v>2789</v>
      </c>
      <c r="AB18">
        <v>0.25</v>
      </c>
      <c r="AC18" t="s">
        <v>2794</v>
      </c>
      <c r="AD18">
        <v>9970.5300000000007</v>
      </c>
      <c r="AE18">
        <v>4302.3600000000006</v>
      </c>
      <c r="AF18">
        <v>0.43150765305354882</v>
      </c>
      <c r="AG18" t="s">
        <v>2824</v>
      </c>
      <c r="AH18">
        <v>2024</v>
      </c>
      <c r="AI18" t="s">
        <v>2835</v>
      </c>
    </row>
    <row r="19" spans="1:35">
      <c r="A19" t="s">
        <v>130</v>
      </c>
      <c r="B19">
        <v>45298</v>
      </c>
      <c r="C19">
        <v>45299</v>
      </c>
      <c r="D19" t="s">
        <v>131</v>
      </c>
      <c r="E19" t="s">
        <v>132</v>
      </c>
      <c r="F19" t="s">
        <v>37</v>
      </c>
      <c r="G19" t="s">
        <v>25</v>
      </c>
      <c r="H19" t="s">
        <v>26</v>
      </c>
      <c r="I19" t="s">
        <v>27</v>
      </c>
      <c r="J19" t="s">
        <v>41</v>
      </c>
      <c r="K19" t="s">
        <v>57</v>
      </c>
      <c r="L19" t="s">
        <v>133</v>
      </c>
      <c r="M19" t="s">
        <v>44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32</v>
      </c>
      <c r="U19" t="s">
        <v>33</v>
      </c>
      <c r="V19" t="s">
        <v>2834</v>
      </c>
      <c r="W19" t="s">
        <v>2834</v>
      </c>
      <c r="X19" t="s">
        <v>2834</v>
      </c>
      <c r="Y19" t="s">
        <v>2834</v>
      </c>
      <c r="Z19">
        <v>1</v>
      </c>
      <c r="AA19" t="s">
        <v>2789</v>
      </c>
      <c r="AB19">
        <v>0</v>
      </c>
      <c r="AC19" t="s">
        <v>2794</v>
      </c>
      <c r="AD19">
        <v>7633.9</v>
      </c>
      <c r="AE19">
        <v>2926.99</v>
      </c>
      <c r="AF19">
        <v>0.38342000812166782</v>
      </c>
      <c r="AG19" t="s">
        <v>2820</v>
      </c>
      <c r="AH19">
        <v>2024</v>
      </c>
      <c r="AI19" t="s">
        <v>2835</v>
      </c>
    </row>
    <row r="20" spans="1:35">
      <c r="A20" t="s">
        <v>134</v>
      </c>
      <c r="B20">
        <v>45853</v>
      </c>
      <c r="C20">
        <v>45855</v>
      </c>
      <c r="D20" t="s">
        <v>135</v>
      </c>
      <c r="E20" t="s">
        <v>128</v>
      </c>
      <c r="F20" t="s">
        <v>95</v>
      </c>
      <c r="G20" t="s">
        <v>25</v>
      </c>
      <c r="H20" t="s">
        <v>136</v>
      </c>
      <c r="I20" t="s">
        <v>137</v>
      </c>
      <c r="J20" t="s">
        <v>74</v>
      </c>
      <c r="K20" t="s">
        <v>80</v>
      </c>
      <c r="L20" t="s">
        <v>138</v>
      </c>
      <c r="M20" t="s">
        <v>50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102</v>
      </c>
      <c r="U20" t="s">
        <v>68</v>
      </c>
      <c r="V20" t="s">
        <v>2834</v>
      </c>
      <c r="W20" t="s">
        <v>2834</v>
      </c>
      <c r="X20" t="s">
        <v>2834</v>
      </c>
      <c r="Y20" t="s">
        <v>2834</v>
      </c>
      <c r="Z20">
        <v>2</v>
      </c>
      <c r="AA20" t="s">
        <v>2789</v>
      </c>
      <c r="AB20">
        <v>0</v>
      </c>
      <c r="AC20" t="s">
        <v>2794</v>
      </c>
      <c r="AD20">
        <v>3995.98</v>
      </c>
      <c r="AE20">
        <v>1362.7800000000002</v>
      </c>
      <c r="AF20">
        <v>0.34103774293164635</v>
      </c>
      <c r="AG20" t="s">
        <v>2826</v>
      </c>
      <c r="AH20">
        <v>2025</v>
      </c>
      <c r="AI20" t="s">
        <v>2835</v>
      </c>
    </row>
    <row r="21" spans="1:35">
      <c r="A21" t="s">
        <v>139</v>
      </c>
      <c r="B21">
        <v>45500</v>
      </c>
      <c r="C21">
        <v>45504</v>
      </c>
      <c r="D21" t="s">
        <v>140</v>
      </c>
      <c r="E21" t="s">
        <v>141</v>
      </c>
      <c r="F21" t="s">
        <v>95</v>
      </c>
      <c r="G21" t="s">
        <v>63</v>
      </c>
      <c r="H21" t="s">
        <v>72</v>
      </c>
      <c r="I21" t="s">
        <v>73</v>
      </c>
      <c r="J21" t="s">
        <v>28</v>
      </c>
      <c r="K21" t="s">
        <v>124</v>
      </c>
      <c r="L21" t="s">
        <v>142</v>
      </c>
      <c r="M21" t="s">
        <v>31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32</v>
      </c>
      <c r="U21" t="s">
        <v>33</v>
      </c>
      <c r="V21" t="s">
        <v>2834</v>
      </c>
      <c r="W21" t="s">
        <v>2834</v>
      </c>
      <c r="X21" t="s">
        <v>2834</v>
      </c>
      <c r="Y21" t="s">
        <v>2834</v>
      </c>
      <c r="Z21">
        <v>4</v>
      </c>
      <c r="AA21" t="s">
        <v>2789</v>
      </c>
      <c r="AB21">
        <v>-0.19</v>
      </c>
      <c r="AC21" t="s">
        <v>2795</v>
      </c>
      <c r="AD21">
        <v>13879.9458</v>
      </c>
      <c r="AE21">
        <v>6350.6357999999991</v>
      </c>
      <c r="AF21">
        <v>0.45754038895454474</v>
      </c>
      <c r="AG21" t="s">
        <v>2826</v>
      </c>
      <c r="AH21">
        <v>2024</v>
      </c>
      <c r="AI21" t="s">
        <v>2836</v>
      </c>
    </row>
    <row r="22" spans="1:35">
      <c r="A22" t="s">
        <v>143</v>
      </c>
      <c r="B22">
        <v>45678</v>
      </c>
      <c r="C22">
        <v>45680</v>
      </c>
      <c r="D22" t="s">
        <v>144</v>
      </c>
      <c r="E22" t="s">
        <v>89</v>
      </c>
      <c r="F22" t="s">
        <v>95</v>
      </c>
      <c r="G22" t="s">
        <v>38</v>
      </c>
      <c r="H22" t="s">
        <v>145</v>
      </c>
      <c r="I22" t="s">
        <v>146</v>
      </c>
      <c r="J22" t="s">
        <v>74</v>
      </c>
      <c r="K22" t="s">
        <v>80</v>
      </c>
      <c r="L22" t="s">
        <v>147</v>
      </c>
      <c r="M22" t="s">
        <v>50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32</v>
      </c>
      <c r="U22" t="s">
        <v>33</v>
      </c>
      <c r="V22" t="s">
        <v>2834</v>
      </c>
      <c r="W22" t="s">
        <v>2834</v>
      </c>
      <c r="X22" t="s">
        <v>2834</v>
      </c>
      <c r="Y22" t="s">
        <v>2834</v>
      </c>
      <c r="Z22">
        <v>2</v>
      </c>
      <c r="AA22" t="s">
        <v>2789</v>
      </c>
      <c r="AB22">
        <v>0.25</v>
      </c>
      <c r="AC22" t="s">
        <v>2794</v>
      </c>
      <c r="AD22">
        <v>16398.975000000002</v>
      </c>
      <c r="AE22">
        <v>6842.4550000000017</v>
      </c>
      <c r="AF22">
        <v>0.4172489439126531</v>
      </c>
      <c r="AG22" t="s">
        <v>2820</v>
      </c>
      <c r="AH22">
        <v>2025</v>
      </c>
      <c r="AI22" t="s">
        <v>2835</v>
      </c>
    </row>
    <row r="23" spans="1:35">
      <c r="A23" t="s">
        <v>148</v>
      </c>
      <c r="B23">
        <v>45681</v>
      </c>
      <c r="C23">
        <v>45687</v>
      </c>
      <c r="D23" t="s">
        <v>149</v>
      </c>
      <c r="E23" t="s">
        <v>132</v>
      </c>
      <c r="F23" t="s">
        <v>24</v>
      </c>
      <c r="G23" t="s">
        <v>63</v>
      </c>
      <c r="H23" t="s">
        <v>72</v>
      </c>
      <c r="I23" t="s">
        <v>73</v>
      </c>
      <c r="J23" t="s">
        <v>41</v>
      </c>
      <c r="K23" t="s">
        <v>57</v>
      </c>
      <c r="L23" t="s">
        <v>150</v>
      </c>
      <c r="M23" t="s">
        <v>31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32</v>
      </c>
      <c r="U23" t="s">
        <v>33</v>
      </c>
      <c r="V23" t="s">
        <v>2834</v>
      </c>
      <c r="W23" t="s">
        <v>2834</v>
      </c>
      <c r="X23" t="s">
        <v>2834</v>
      </c>
      <c r="Y23" t="s">
        <v>2834</v>
      </c>
      <c r="Z23">
        <v>6</v>
      </c>
      <c r="AA23" t="s">
        <v>2789</v>
      </c>
      <c r="AB23">
        <v>-0.23</v>
      </c>
      <c r="AC23" t="s">
        <v>2795</v>
      </c>
      <c r="AD23">
        <v>3432.6348000000003</v>
      </c>
      <c r="AE23">
        <v>1394.9248000000002</v>
      </c>
      <c r="AF23">
        <v>0.40637145553613807</v>
      </c>
      <c r="AG23" t="s">
        <v>2820</v>
      </c>
      <c r="AH23">
        <v>2025</v>
      </c>
      <c r="AI23" t="s">
        <v>2836</v>
      </c>
    </row>
    <row r="24" spans="1:35">
      <c r="A24" t="s">
        <v>151</v>
      </c>
      <c r="B24">
        <v>45676</v>
      </c>
      <c r="C24">
        <v>45678</v>
      </c>
      <c r="D24" t="s">
        <v>152</v>
      </c>
      <c r="E24" t="s">
        <v>36</v>
      </c>
      <c r="F24" t="s">
        <v>24</v>
      </c>
      <c r="G24" t="s">
        <v>54</v>
      </c>
      <c r="H24" t="s">
        <v>55</v>
      </c>
      <c r="I24" t="s">
        <v>56</v>
      </c>
      <c r="J24" t="s">
        <v>28</v>
      </c>
      <c r="K24" t="s">
        <v>153</v>
      </c>
      <c r="L24" t="s">
        <v>154</v>
      </c>
      <c r="M24" t="s">
        <v>59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155</v>
      </c>
      <c r="U24" t="s">
        <v>103</v>
      </c>
      <c r="V24" t="s">
        <v>2834</v>
      </c>
      <c r="W24" t="s">
        <v>2834</v>
      </c>
      <c r="X24" t="s">
        <v>2834</v>
      </c>
      <c r="Y24" t="s">
        <v>2834</v>
      </c>
      <c r="Z24">
        <v>2</v>
      </c>
      <c r="AA24" t="s">
        <v>2789</v>
      </c>
      <c r="AB24">
        <v>0.15</v>
      </c>
      <c r="AC24" t="s">
        <v>2794</v>
      </c>
      <c r="AD24">
        <v>8291.5119999999988</v>
      </c>
      <c r="AE24">
        <v>1606.4819999999991</v>
      </c>
      <c r="AF24">
        <v>0.19375018693816029</v>
      </c>
      <c r="AG24" t="s">
        <v>2820</v>
      </c>
      <c r="AH24">
        <v>2025</v>
      </c>
      <c r="AI24" t="s">
        <v>2835</v>
      </c>
    </row>
    <row r="25" spans="1:35">
      <c r="A25" t="s">
        <v>156</v>
      </c>
      <c r="B25">
        <v>45898</v>
      </c>
      <c r="C25">
        <v>45900</v>
      </c>
      <c r="D25" t="s">
        <v>157</v>
      </c>
      <c r="E25" t="s">
        <v>118</v>
      </c>
      <c r="F25" t="s">
        <v>95</v>
      </c>
      <c r="G25" t="s">
        <v>38</v>
      </c>
      <c r="H25" t="s">
        <v>145</v>
      </c>
      <c r="I25" t="s">
        <v>146</v>
      </c>
      <c r="J25" t="s">
        <v>41</v>
      </c>
      <c r="K25" t="s">
        <v>158</v>
      </c>
      <c r="L25" t="s">
        <v>159</v>
      </c>
      <c r="M25" t="s">
        <v>50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32</v>
      </c>
      <c r="U25" t="s">
        <v>33</v>
      </c>
      <c r="V25" t="s">
        <v>2834</v>
      </c>
      <c r="W25" t="s">
        <v>2834</v>
      </c>
      <c r="X25" t="s">
        <v>2834</v>
      </c>
      <c r="Y25" t="s">
        <v>2834</v>
      </c>
      <c r="Z25">
        <v>2</v>
      </c>
      <c r="AA25" t="s">
        <v>2789</v>
      </c>
      <c r="AB25">
        <v>0.2</v>
      </c>
      <c r="AC25" t="s">
        <v>2794</v>
      </c>
      <c r="AD25">
        <v>6265.6320000000005</v>
      </c>
      <c r="AE25">
        <v>1943.7720000000008</v>
      </c>
      <c r="AF25">
        <v>0.31022760353624351</v>
      </c>
      <c r="AG25" t="s">
        <v>2827</v>
      </c>
      <c r="AH25">
        <v>2025</v>
      </c>
      <c r="AI25" t="s">
        <v>2835</v>
      </c>
    </row>
    <row r="26" spans="1:35">
      <c r="A26" t="s">
        <v>160</v>
      </c>
      <c r="B26">
        <v>45355</v>
      </c>
      <c r="C26">
        <v>45352</v>
      </c>
      <c r="D26" t="s">
        <v>161</v>
      </c>
      <c r="E26" t="s">
        <v>162</v>
      </c>
      <c r="F26" t="s">
        <v>24</v>
      </c>
      <c r="G26" t="s">
        <v>25</v>
      </c>
      <c r="H26" t="s">
        <v>122</v>
      </c>
      <c r="I26" t="s">
        <v>123</v>
      </c>
      <c r="J26" t="s">
        <v>28</v>
      </c>
      <c r="K26" t="s">
        <v>48</v>
      </c>
      <c r="L26" t="s">
        <v>163</v>
      </c>
      <c r="M26" t="s">
        <v>59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111</v>
      </c>
      <c r="U26" t="s">
        <v>68</v>
      </c>
      <c r="V26" t="s">
        <v>2834</v>
      </c>
      <c r="W26" t="s">
        <v>2834</v>
      </c>
      <c r="X26" t="s">
        <v>2834</v>
      </c>
      <c r="Y26" t="s">
        <v>2837</v>
      </c>
      <c r="Z26">
        <v>-3</v>
      </c>
      <c r="AA26" t="s">
        <v>2789</v>
      </c>
      <c r="AB26">
        <v>0.25</v>
      </c>
      <c r="AC26" t="s">
        <v>2794</v>
      </c>
      <c r="AD26">
        <v>13478.82</v>
      </c>
      <c r="AE26">
        <v>2541.4699999999993</v>
      </c>
      <c r="AF26">
        <v>0.18855285551702591</v>
      </c>
      <c r="AG26" t="s">
        <v>2822</v>
      </c>
      <c r="AH26">
        <v>2024</v>
      </c>
      <c r="AI26" t="s">
        <v>2836</v>
      </c>
    </row>
    <row r="27" spans="1:35">
      <c r="A27" t="s">
        <v>164</v>
      </c>
      <c r="B27">
        <v>45576</v>
      </c>
      <c r="C27">
        <v>45584</v>
      </c>
      <c r="D27" t="s">
        <v>165</v>
      </c>
      <c r="E27" t="s">
        <v>53</v>
      </c>
      <c r="F27" t="s">
        <v>90</v>
      </c>
      <c r="G27" t="s">
        <v>38</v>
      </c>
      <c r="H27" t="s">
        <v>166</v>
      </c>
      <c r="I27" t="s">
        <v>167</v>
      </c>
      <c r="J27" t="s">
        <v>74</v>
      </c>
      <c r="K27" t="s">
        <v>75</v>
      </c>
      <c r="L27" t="s">
        <v>168</v>
      </c>
      <c r="M27" t="s">
        <v>50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32</v>
      </c>
      <c r="U27" t="s">
        <v>33</v>
      </c>
      <c r="V27" t="s">
        <v>2834</v>
      </c>
      <c r="W27" t="s">
        <v>2834</v>
      </c>
      <c r="X27" t="s">
        <v>2834</v>
      </c>
      <c r="Y27" t="s">
        <v>2834</v>
      </c>
      <c r="Z27">
        <v>8</v>
      </c>
      <c r="AA27" t="s">
        <v>2789</v>
      </c>
      <c r="AB27">
        <v>0.15</v>
      </c>
      <c r="AC27" t="s">
        <v>2794</v>
      </c>
      <c r="AD27">
        <v>7335.8399999999992</v>
      </c>
      <c r="AE27">
        <v>2367.4299999999994</v>
      </c>
      <c r="AF27">
        <v>0.32272105171323251</v>
      </c>
      <c r="AG27" t="s">
        <v>2829</v>
      </c>
      <c r="AH27">
        <v>2024</v>
      </c>
      <c r="AI27" t="s">
        <v>2835</v>
      </c>
    </row>
    <row r="28" spans="1:35">
      <c r="A28" t="s">
        <v>169</v>
      </c>
      <c r="B28">
        <v>45619</v>
      </c>
      <c r="C28">
        <v>45619</v>
      </c>
      <c r="D28" t="s">
        <v>170</v>
      </c>
      <c r="E28" t="s">
        <v>162</v>
      </c>
      <c r="F28" t="s">
        <v>90</v>
      </c>
      <c r="G28" t="s">
        <v>25</v>
      </c>
      <c r="H28" t="s">
        <v>136</v>
      </c>
      <c r="I28" t="s">
        <v>137</v>
      </c>
      <c r="J28" t="s">
        <v>74</v>
      </c>
      <c r="K28" t="s">
        <v>171</v>
      </c>
      <c r="L28" t="s">
        <v>172</v>
      </c>
      <c r="M28" t="s">
        <v>59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32</v>
      </c>
      <c r="U28" t="s">
        <v>103</v>
      </c>
      <c r="V28" t="s">
        <v>2834</v>
      </c>
      <c r="W28" t="s">
        <v>2834</v>
      </c>
      <c r="X28" t="s">
        <v>2834</v>
      </c>
      <c r="Y28" t="s">
        <v>2834</v>
      </c>
      <c r="Z28">
        <v>0</v>
      </c>
      <c r="AA28" t="s">
        <v>2789</v>
      </c>
      <c r="AB28">
        <v>0.1</v>
      </c>
      <c r="AC28" t="s">
        <v>2794</v>
      </c>
      <c r="AD28">
        <v>2578.0680000000002</v>
      </c>
      <c r="AE28">
        <v>1050.5180000000003</v>
      </c>
      <c r="AF28">
        <v>0.40748265755596835</v>
      </c>
      <c r="AG28" t="s">
        <v>2830</v>
      </c>
      <c r="AH28">
        <v>2024</v>
      </c>
      <c r="AI28" t="s">
        <v>2835</v>
      </c>
    </row>
    <row r="29" spans="1:35">
      <c r="A29" t="s">
        <v>173</v>
      </c>
      <c r="B29">
        <v>45929</v>
      </c>
      <c r="C29">
        <v>45935</v>
      </c>
      <c r="D29" t="s">
        <v>174</v>
      </c>
      <c r="E29" t="s">
        <v>53</v>
      </c>
      <c r="F29" t="s">
        <v>37</v>
      </c>
      <c r="G29" t="s">
        <v>54</v>
      </c>
      <c r="H29" t="s">
        <v>175</v>
      </c>
      <c r="I29" t="s">
        <v>176</v>
      </c>
      <c r="J29" t="s">
        <v>28</v>
      </c>
      <c r="K29" t="s">
        <v>29</v>
      </c>
      <c r="L29" t="s">
        <v>177</v>
      </c>
      <c r="M29" t="s">
        <v>31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155</v>
      </c>
      <c r="U29" t="s">
        <v>103</v>
      </c>
      <c r="V29" t="s">
        <v>2834</v>
      </c>
      <c r="W29" t="s">
        <v>2834</v>
      </c>
      <c r="X29" t="s">
        <v>2834</v>
      </c>
      <c r="Y29" t="s">
        <v>2834</v>
      </c>
      <c r="Z29">
        <v>6</v>
      </c>
      <c r="AA29" t="s">
        <v>2789</v>
      </c>
      <c r="AB29">
        <v>0.25</v>
      </c>
      <c r="AC29" t="s">
        <v>2794</v>
      </c>
      <c r="AD29">
        <v>6774.4124999999995</v>
      </c>
      <c r="AE29">
        <v>2064.0524999999998</v>
      </c>
      <c r="AF29">
        <v>0.30468361647596748</v>
      </c>
      <c r="AG29" t="s">
        <v>2828</v>
      </c>
      <c r="AH29">
        <v>2025</v>
      </c>
      <c r="AI29" t="s">
        <v>2835</v>
      </c>
    </row>
    <row r="30" spans="1:35">
      <c r="A30" t="s">
        <v>178</v>
      </c>
      <c r="B30">
        <v>45576</v>
      </c>
      <c r="C30">
        <v>45583</v>
      </c>
      <c r="D30" t="s">
        <v>179</v>
      </c>
      <c r="E30" t="s">
        <v>62</v>
      </c>
      <c r="F30" t="s">
        <v>95</v>
      </c>
      <c r="G30" t="s">
        <v>63</v>
      </c>
      <c r="H30" t="s">
        <v>180</v>
      </c>
      <c r="I30" t="s">
        <v>181</v>
      </c>
      <c r="J30" t="s">
        <v>74</v>
      </c>
      <c r="K30" t="s">
        <v>171</v>
      </c>
      <c r="L30" t="s">
        <v>182</v>
      </c>
      <c r="M30" t="s">
        <v>31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102</v>
      </c>
      <c r="U30" t="s">
        <v>68</v>
      </c>
      <c r="V30" t="s">
        <v>2834</v>
      </c>
      <c r="W30" t="s">
        <v>2834</v>
      </c>
      <c r="X30" t="s">
        <v>2834</v>
      </c>
      <c r="Y30" t="s">
        <v>2834</v>
      </c>
      <c r="Z30">
        <v>7</v>
      </c>
      <c r="AA30" t="s">
        <v>2789</v>
      </c>
      <c r="AB30">
        <v>0.25</v>
      </c>
      <c r="AC30" t="s">
        <v>2794</v>
      </c>
      <c r="AD30">
        <v>2913.33</v>
      </c>
      <c r="AE30">
        <v>791</v>
      </c>
      <c r="AF30">
        <v>0.27151060813570727</v>
      </c>
      <c r="AG30" t="s">
        <v>2829</v>
      </c>
      <c r="AH30">
        <v>2024</v>
      </c>
      <c r="AI30" t="s">
        <v>2835</v>
      </c>
    </row>
    <row r="31" spans="1:35">
      <c r="A31" t="s">
        <v>183</v>
      </c>
      <c r="B31">
        <v>45882</v>
      </c>
      <c r="C31">
        <v>45882</v>
      </c>
      <c r="D31" t="s">
        <v>184</v>
      </c>
      <c r="E31" t="s">
        <v>141</v>
      </c>
      <c r="F31" t="s">
        <v>95</v>
      </c>
      <c r="G31" t="s">
        <v>54</v>
      </c>
      <c r="H31" t="s">
        <v>185</v>
      </c>
      <c r="I31" t="s">
        <v>186</v>
      </c>
      <c r="J31" t="s">
        <v>74</v>
      </c>
      <c r="K31" t="s">
        <v>171</v>
      </c>
      <c r="L31" t="s">
        <v>187</v>
      </c>
      <c r="M31" t="s">
        <v>59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32</v>
      </c>
      <c r="U31" t="s">
        <v>33</v>
      </c>
      <c r="V31" t="s">
        <v>2834</v>
      </c>
      <c r="W31" t="s">
        <v>2834</v>
      </c>
      <c r="X31" t="s">
        <v>2834</v>
      </c>
      <c r="Y31" t="s">
        <v>2834</v>
      </c>
      <c r="Z31">
        <v>0</v>
      </c>
      <c r="AA31" t="s">
        <v>2789</v>
      </c>
      <c r="AB31">
        <v>0.15</v>
      </c>
      <c r="AC31" t="s">
        <v>2794</v>
      </c>
      <c r="AD31">
        <v>217.60849999999999</v>
      </c>
      <c r="AE31">
        <v>97.838499999999996</v>
      </c>
      <c r="AF31">
        <v>0.44960789675035673</v>
      </c>
      <c r="AG31" t="s">
        <v>2827</v>
      </c>
      <c r="AH31">
        <v>2025</v>
      </c>
      <c r="AI31" t="s">
        <v>2835</v>
      </c>
    </row>
    <row r="32" spans="1:35">
      <c r="A32" t="s">
        <v>188</v>
      </c>
      <c r="B32">
        <v>45331</v>
      </c>
      <c r="C32">
        <v>45334</v>
      </c>
      <c r="D32" t="s">
        <v>189</v>
      </c>
      <c r="E32" t="s">
        <v>62</v>
      </c>
      <c r="F32" t="s">
        <v>90</v>
      </c>
      <c r="G32" t="s">
        <v>63</v>
      </c>
      <c r="H32" t="s">
        <v>190</v>
      </c>
      <c r="I32" t="s">
        <v>191</v>
      </c>
      <c r="J32" t="s">
        <v>28</v>
      </c>
      <c r="K32" t="s">
        <v>91</v>
      </c>
      <c r="L32" t="s">
        <v>192</v>
      </c>
      <c r="M32" t="s">
        <v>50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32</v>
      </c>
      <c r="U32" t="s">
        <v>33</v>
      </c>
      <c r="V32" t="s">
        <v>2834</v>
      </c>
      <c r="W32" t="s">
        <v>2834</v>
      </c>
      <c r="X32" t="s">
        <v>2834</v>
      </c>
      <c r="Y32" t="s">
        <v>2834</v>
      </c>
      <c r="Z32">
        <v>3</v>
      </c>
      <c r="AA32" t="s">
        <v>2789</v>
      </c>
      <c r="AB32">
        <v>0.1</v>
      </c>
      <c r="AC32" t="s">
        <v>2794</v>
      </c>
      <c r="AD32">
        <v>3079.5929999999998</v>
      </c>
      <c r="AE32">
        <v>1077.7029999999997</v>
      </c>
      <c r="AF32">
        <v>0.34994981479695525</v>
      </c>
      <c r="AG32" t="s">
        <v>2821</v>
      </c>
      <c r="AH32">
        <v>2024</v>
      </c>
      <c r="AI32" t="s">
        <v>2835</v>
      </c>
    </row>
    <row r="33" spans="1:35">
      <c r="A33" t="s">
        <v>193</v>
      </c>
      <c r="B33">
        <v>45823</v>
      </c>
      <c r="C33">
        <v>45827</v>
      </c>
      <c r="D33" t="s">
        <v>194</v>
      </c>
      <c r="E33" t="s">
        <v>23</v>
      </c>
      <c r="F33" t="s">
        <v>37</v>
      </c>
      <c r="G33" t="s">
        <v>63</v>
      </c>
      <c r="H33" t="s">
        <v>72</v>
      </c>
      <c r="I33" t="s">
        <v>73</v>
      </c>
      <c r="J33" t="s">
        <v>28</v>
      </c>
      <c r="K33" t="s">
        <v>29</v>
      </c>
      <c r="L33" t="s">
        <v>195</v>
      </c>
      <c r="M33" t="s">
        <v>31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155</v>
      </c>
      <c r="U33" t="s">
        <v>103</v>
      </c>
      <c r="V33" t="s">
        <v>2834</v>
      </c>
      <c r="W33" t="s">
        <v>2834</v>
      </c>
      <c r="X33" t="s">
        <v>2834</v>
      </c>
      <c r="Y33" t="s">
        <v>2834</v>
      </c>
      <c r="Z33">
        <v>4</v>
      </c>
      <c r="AA33" t="s">
        <v>2789</v>
      </c>
      <c r="AB33">
        <v>0</v>
      </c>
      <c r="AC33" t="s">
        <v>2794</v>
      </c>
      <c r="AD33">
        <v>27832.95</v>
      </c>
      <c r="AE33">
        <v>10063.200000000001</v>
      </c>
      <c r="AF33">
        <v>0.36155707533696574</v>
      </c>
      <c r="AG33" t="s">
        <v>2825</v>
      </c>
      <c r="AH33">
        <v>2025</v>
      </c>
      <c r="AI33" t="s">
        <v>2835</v>
      </c>
    </row>
    <row r="34" spans="1:35">
      <c r="A34" t="s">
        <v>196</v>
      </c>
      <c r="B34">
        <v>45618</v>
      </c>
      <c r="C34">
        <v>45622</v>
      </c>
      <c r="D34" t="s">
        <v>197</v>
      </c>
      <c r="E34" t="s">
        <v>128</v>
      </c>
      <c r="F34" t="s">
        <v>90</v>
      </c>
      <c r="G34" t="s">
        <v>54</v>
      </c>
      <c r="H34" t="s">
        <v>84</v>
      </c>
      <c r="I34" t="s">
        <v>85</v>
      </c>
      <c r="J34" t="s">
        <v>74</v>
      </c>
      <c r="K34" t="s">
        <v>171</v>
      </c>
      <c r="L34" t="s">
        <v>198</v>
      </c>
      <c r="M34" t="s">
        <v>31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32</v>
      </c>
      <c r="U34" t="s">
        <v>33</v>
      </c>
      <c r="V34" t="s">
        <v>2834</v>
      </c>
      <c r="W34" t="s">
        <v>2834</v>
      </c>
      <c r="X34" t="s">
        <v>2834</v>
      </c>
      <c r="Y34" t="s">
        <v>2834</v>
      </c>
      <c r="Z34">
        <v>4</v>
      </c>
      <c r="AA34" t="s">
        <v>2789</v>
      </c>
      <c r="AB34">
        <v>0</v>
      </c>
      <c r="AC34" t="s">
        <v>2796</v>
      </c>
      <c r="AD34">
        <v>12003.75</v>
      </c>
      <c r="AE34">
        <v>4473.83</v>
      </c>
      <c r="AF34">
        <v>0.37270269707383108</v>
      </c>
      <c r="AG34" t="s">
        <v>2830</v>
      </c>
      <c r="AH34">
        <v>2024</v>
      </c>
      <c r="AI34" t="s">
        <v>2838</v>
      </c>
    </row>
    <row r="35" spans="1:35">
      <c r="A35" t="s">
        <v>199</v>
      </c>
      <c r="B35">
        <v>45495</v>
      </c>
      <c r="C35">
        <v>45500</v>
      </c>
      <c r="D35" t="s">
        <v>200</v>
      </c>
      <c r="E35" t="s">
        <v>114</v>
      </c>
      <c r="F35" t="s">
        <v>95</v>
      </c>
      <c r="G35" t="s">
        <v>63</v>
      </c>
      <c r="H35" t="s">
        <v>190</v>
      </c>
      <c r="I35" t="s">
        <v>191</v>
      </c>
      <c r="J35" t="s">
        <v>41</v>
      </c>
      <c r="K35" t="s">
        <v>42</v>
      </c>
      <c r="L35" t="s">
        <v>201</v>
      </c>
      <c r="M35" t="s">
        <v>44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32</v>
      </c>
      <c r="U35" t="s">
        <v>33</v>
      </c>
      <c r="V35" t="s">
        <v>2834</v>
      </c>
      <c r="W35" t="s">
        <v>2834</v>
      </c>
      <c r="X35" t="s">
        <v>2834</v>
      </c>
      <c r="Y35" t="s">
        <v>2834</v>
      </c>
      <c r="Z35">
        <v>5</v>
      </c>
      <c r="AA35" t="s">
        <v>2789</v>
      </c>
      <c r="AB35">
        <v>0.25</v>
      </c>
      <c r="AC35" t="s">
        <v>2794</v>
      </c>
      <c r="AD35">
        <v>2585.1525000000001</v>
      </c>
      <c r="AE35">
        <v>514.42250000000013</v>
      </c>
      <c r="AF35">
        <v>0.19899116203009304</v>
      </c>
      <c r="AG35" t="s">
        <v>2826</v>
      </c>
      <c r="AH35">
        <v>2024</v>
      </c>
      <c r="AI35" t="s">
        <v>2835</v>
      </c>
    </row>
    <row r="36" spans="1:35">
      <c r="A36" t="s">
        <v>202</v>
      </c>
      <c r="B36">
        <v>45688</v>
      </c>
      <c r="C36">
        <v>45693</v>
      </c>
      <c r="D36" t="s">
        <v>203</v>
      </c>
      <c r="E36" t="s">
        <v>114</v>
      </c>
      <c r="F36" t="s">
        <v>95</v>
      </c>
      <c r="G36" t="s">
        <v>38</v>
      </c>
      <c r="H36" t="s">
        <v>99</v>
      </c>
      <c r="I36" t="s">
        <v>100</v>
      </c>
      <c r="J36" t="s">
        <v>41</v>
      </c>
      <c r="K36" t="s">
        <v>66</v>
      </c>
      <c r="L36" t="s">
        <v>204</v>
      </c>
      <c r="M36" t="s">
        <v>2791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32</v>
      </c>
      <c r="U36" t="s">
        <v>33</v>
      </c>
      <c r="V36" t="s">
        <v>2834</v>
      </c>
      <c r="W36" t="s">
        <v>2834</v>
      </c>
      <c r="X36" t="s">
        <v>2834</v>
      </c>
      <c r="Y36" t="s">
        <v>2834</v>
      </c>
      <c r="Z36">
        <v>5</v>
      </c>
      <c r="AA36" t="s">
        <v>2789</v>
      </c>
      <c r="AB36">
        <v>0.2</v>
      </c>
      <c r="AC36" t="s">
        <v>2794</v>
      </c>
      <c r="AD36">
        <v>6655.5039999999999</v>
      </c>
      <c r="AE36">
        <v>2315.2939999999999</v>
      </c>
      <c r="AF36">
        <v>0.34787658455317583</v>
      </c>
      <c r="AG36" t="s">
        <v>2820</v>
      </c>
      <c r="AH36">
        <v>2025</v>
      </c>
      <c r="AI36" t="s">
        <v>2838</v>
      </c>
    </row>
    <row r="37" spans="1:35">
      <c r="A37" t="s">
        <v>205</v>
      </c>
      <c r="B37">
        <v>45441</v>
      </c>
      <c r="C37">
        <v>45441</v>
      </c>
      <c r="D37" t="s">
        <v>206</v>
      </c>
      <c r="E37" t="s">
        <v>132</v>
      </c>
      <c r="F37" t="s">
        <v>37</v>
      </c>
      <c r="G37" t="s">
        <v>63</v>
      </c>
      <c r="H37" t="s">
        <v>180</v>
      </c>
      <c r="I37" t="s">
        <v>181</v>
      </c>
      <c r="J37" t="s">
        <v>41</v>
      </c>
      <c r="K37" t="s">
        <v>158</v>
      </c>
      <c r="L37" t="s">
        <v>207</v>
      </c>
      <c r="M37" t="s">
        <v>31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111</v>
      </c>
      <c r="U37" t="s">
        <v>103</v>
      </c>
      <c r="V37" t="s">
        <v>2834</v>
      </c>
      <c r="W37" t="s">
        <v>2834</v>
      </c>
      <c r="X37" t="s">
        <v>2834</v>
      </c>
      <c r="Y37" t="s">
        <v>2834</v>
      </c>
      <c r="Z37">
        <v>0</v>
      </c>
      <c r="AA37" t="s">
        <v>2789</v>
      </c>
      <c r="AB37">
        <v>0.05</v>
      </c>
      <c r="AC37" t="s">
        <v>2794</v>
      </c>
      <c r="AD37">
        <v>19054.111999999997</v>
      </c>
      <c r="AE37">
        <v>3740.2819999999974</v>
      </c>
      <c r="AF37">
        <v>0.19629789097492437</v>
      </c>
      <c r="AG37" t="s">
        <v>2824</v>
      </c>
      <c r="AH37">
        <v>2024</v>
      </c>
      <c r="AI37" t="s">
        <v>2835</v>
      </c>
    </row>
    <row r="38" spans="1:35">
      <c r="A38" t="s">
        <v>208</v>
      </c>
      <c r="B38">
        <v>45590</v>
      </c>
      <c r="C38">
        <v>45593</v>
      </c>
      <c r="D38" t="s">
        <v>209</v>
      </c>
      <c r="E38" t="s">
        <v>141</v>
      </c>
      <c r="F38" t="s">
        <v>90</v>
      </c>
      <c r="G38" t="s">
        <v>63</v>
      </c>
      <c r="H38" t="s">
        <v>64</v>
      </c>
      <c r="I38" t="s">
        <v>65</v>
      </c>
      <c r="J38" t="s">
        <v>41</v>
      </c>
      <c r="K38" t="s">
        <v>158</v>
      </c>
      <c r="L38" t="s">
        <v>210</v>
      </c>
      <c r="M38" t="s">
        <v>31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32</v>
      </c>
      <c r="U38" t="s">
        <v>103</v>
      </c>
      <c r="V38" t="s">
        <v>2834</v>
      </c>
      <c r="W38" t="s">
        <v>2834</v>
      </c>
      <c r="X38" t="s">
        <v>2834</v>
      </c>
      <c r="Y38" t="s">
        <v>2834</v>
      </c>
      <c r="Z38">
        <v>3</v>
      </c>
      <c r="AA38" t="s">
        <v>2789</v>
      </c>
      <c r="AB38">
        <v>0</v>
      </c>
      <c r="AC38" t="s">
        <v>2794</v>
      </c>
      <c r="AD38">
        <v>9379.41</v>
      </c>
      <c r="AE38">
        <v>2708.5599999999995</v>
      </c>
      <c r="AF38">
        <v>0.28877722585962223</v>
      </c>
      <c r="AG38" t="s">
        <v>2829</v>
      </c>
      <c r="AH38">
        <v>2024</v>
      </c>
      <c r="AI38" t="s">
        <v>2835</v>
      </c>
    </row>
    <row r="39" spans="1:35">
      <c r="A39" t="s">
        <v>211</v>
      </c>
      <c r="B39">
        <v>45867</v>
      </c>
      <c r="C39">
        <v>45867</v>
      </c>
      <c r="D39" t="s">
        <v>212</v>
      </c>
      <c r="E39" t="s">
        <v>162</v>
      </c>
      <c r="F39" t="s">
        <v>24</v>
      </c>
      <c r="G39" t="s">
        <v>63</v>
      </c>
      <c r="H39" t="s">
        <v>64</v>
      </c>
      <c r="I39" t="s">
        <v>65</v>
      </c>
      <c r="J39" t="s">
        <v>74</v>
      </c>
      <c r="K39" t="s">
        <v>80</v>
      </c>
      <c r="L39" t="s">
        <v>213</v>
      </c>
      <c r="M39" t="s">
        <v>59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32</v>
      </c>
      <c r="U39" t="s">
        <v>33</v>
      </c>
      <c r="V39" t="s">
        <v>2834</v>
      </c>
      <c r="W39" t="s">
        <v>2834</v>
      </c>
      <c r="X39" t="s">
        <v>2834</v>
      </c>
      <c r="Y39" t="s">
        <v>2834</v>
      </c>
      <c r="Z39">
        <v>0</v>
      </c>
      <c r="AA39" t="s">
        <v>2789</v>
      </c>
      <c r="AB39">
        <v>0.2</v>
      </c>
      <c r="AC39" t="s">
        <v>2794</v>
      </c>
      <c r="AD39">
        <v>4248.1279999999997</v>
      </c>
      <c r="AE39">
        <v>927.03799999999956</v>
      </c>
      <c r="AF39">
        <v>0.21822270892025844</v>
      </c>
      <c r="AG39" t="s">
        <v>2826</v>
      </c>
      <c r="AH39">
        <v>2025</v>
      </c>
      <c r="AI39" t="s">
        <v>2835</v>
      </c>
    </row>
    <row r="40" spans="1:35">
      <c r="A40" t="s">
        <v>214</v>
      </c>
      <c r="B40">
        <v>45460</v>
      </c>
      <c r="C40">
        <v>45465</v>
      </c>
      <c r="D40" t="s">
        <v>215</v>
      </c>
      <c r="E40" t="s">
        <v>128</v>
      </c>
      <c r="F40" t="s">
        <v>90</v>
      </c>
      <c r="G40" t="s">
        <v>63</v>
      </c>
      <c r="H40" t="s">
        <v>180</v>
      </c>
      <c r="I40" t="s">
        <v>181</v>
      </c>
      <c r="J40" t="s">
        <v>74</v>
      </c>
      <c r="K40" t="s">
        <v>171</v>
      </c>
      <c r="L40" t="s">
        <v>216</v>
      </c>
      <c r="M40" t="s">
        <v>50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32</v>
      </c>
      <c r="U40" t="s">
        <v>33</v>
      </c>
      <c r="V40" t="s">
        <v>2834</v>
      </c>
      <c r="W40" t="s">
        <v>2834</v>
      </c>
      <c r="X40" t="s">
        <v>2834</v>
      </c>
      <c r="Y40" t="s">
        <v>2834</v>
      </c>
      <c r="Z40">
        <v>5</v>
      </c>
      <c r="AA40" t="s">
        <v>2789</v>
      </c>
      <c r="AB40">
        <v>0.1</v>
      </c>
      <c r="AC40" t="s">
        <v>2794</v>
      </c>
      <c r="AD40">
        <v>13927.284</v>
      </c>
      <c r="AE40">
        <v>3422.4139999999989</v>
      </c>
      <c r="AF40">
        <v>0.24573448778670692</v>
      </c>
      <c r="AG40" t="s">
        <v>2825</v>
      </c>
      <c r="AH40">
        <v>2024</v>
      </c>
      <c r="AI40" t="s">
        <v>2835</v>
      </c>
    </row>
    <row r="41" spans="1:35">
      <c r="A41" t="s">
        <v>217</v>
      </c>
      <c r="B41">
        <v>45637</v>
      </c>
      <c r="C41">
        <v>45637</v>
      </c>
      <c r="D41" t="s">
        <v>218</v>
      </c>
      <c r="E41" t="s">
        <v>36</v>
      </c>
      <c r="F41" t="s">
        <v>37</v>
      </c>
      <c r="G41" t="s">
        <v>63</v>
      </c>
      <c r="H41" t="s">
        <v>72</v>
      </c>
      <c r="I41" t="s">
        <v>73</v>
      </c>
      <c r="J41" t="s">
        <v>74</v>
      </c>
      <c r="K41" t="s">
        <v>80</v>
      </c>
      <c r="L41" t="s">
        <v>219</v>
      </c>
      <c r="M41" t="s">
        <v>50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111</v>
      </c>
      <c r="U41" t="s">
        <v>103</v>
      </c>
      <c r="V41" t="s">
        <v>2834</v>
      </c>
      <c r="W41" t="s">
        <v>2834</v>
      </c>
      <c r="X41" t="s">
        <v>2834</v>
      </c>
      <c r="Y41" t="s">
        <v>2834</v>
      </c>
      <c r="Z41">
        <v>0</v>
      </c>
      <c r="AA41" t="s">
        <v>2789</v>
      </c>
      <c r="AB41">
        <v>0.1</v>
      </c>
      <c r="AC41" t="s">
        <v>2794</v>
      </c>
      <c r="AD41">
        <v>4935.3120000000008</v>
      </c>
      <c r="AE41">
        <v>1560.5420000000008</v>
      </c>
      <c r="AF41">
        <v>0.31619925954022776</v>
      </c>
      <c r="AG41" t="s">
        <v>2831</v>
      </c>
      <c r="AH41">
        <v>2024</v>
      </c>
      <c r="AI41" t="s">
        <v>2835</v>
      </c>
    </row>
    <row r="42" spans="1:35">
      <c r="A42" t="s">
        <v>220</v>
      </c>
      <c r="B42">
        <v>45575</v>
      </c>
      <c r="C42">
        <v>45581</v>
      </c>
      <c r="D42" t="s">
        <v>221</v>
      </c>
      <c r="E42" t="s">
        <v>47</v>
      </c>
      <c r="F42" t="s">
        <v>95</v>
      </c>
      <c r="G42" t="s">
        <v>63</v>
      </c>
      <c r="H42" t="s">
        <v>26</v>
      </c>
      <c r="I42" t="s">
        <v>109</v>
      </c>
      <c r="J42" t="s">
        <v>74</v>
      </c>
      <c r="K42" t="s">
        <v>80</v>
      </c>
      <c r="L42" t="s">
        <v>222</v>
      </c>
      <c r="M42" t="s">
        <v>59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32</v>
      </c>
      <c r="U42" t="s">
        <v>33</v>
      </c>
      <c r="V42" t="s">
        <v>2834</v>
      </c>
      <c r="W42" t="s">
        <v>2834</v>
      </c>
      <c r="X42" t="s">
        <v>2834</v>
      </c>
      <c r="Y42" t="s">
        <v>2834</v>
      </c>
      <c r="Z42">
        <v>6</v>
      </c>
      <c r="AA42" t="s">
        <v>2789</v>
      </c>
      <c r="AB42">
        <v>0.2</v>
      </c>
      <c r="AC42" t="s">
        <v>2794</v>
      </c>
      <c r="AD42">
        <v>14051.912</v>
      </c>
      <c r="AE42">
        <v>2061.5419999999995</v>
      </c>
      <c r="AF42">
        <v>0.14670900301681361</v>
      </c>
      <c r="AG42" t="s">
        <v>2829</v>
      </c>
      <c r="AH42">
        <v>2024</v>
      </c>
      <c r="AI42" t="s">
        <v>2835</v>
      </c>
    </row>
    <row r="43" spans="1:35">
      <c r="A43" t="s">
        <v>223</v>
      </c>
      <c r="B43">
        <v>45363</v>
      </c>
      <c r="C43">
        <v>45368</v>
      </c>
      <c r="D43" t="s">
        <v>224</v>
      </c>
      <c r="E43" t="s">
        <v>128</v>
      </c>
      <c r="F43" t="s">
        <v>37</v>
      </c>
      <c r="G43" t="s">
        <v>38</v>
      </c>
      <c r="H43" t="s">
        <v>39</v>
      </c>
      <c r="I43" t="s">
        <v>40</v>
      </c>
      <c r="J43" t="s">
        <v>41</v>
      </c>
      <c r="K43" t="s">
        <v>158</v>
      </c>
      <c r="L43" t="s">
        <v>225</v>
      </c>
      <c r="M43" t="s">
        <v>44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111</v>
      </c>
      <c r="U43" t="s">
        <v>68</v>
      </c>
      <c r="V43" t="s">
        <v>2834</v>
      </c>
      <c r="W43" t="s">
        <v>2834</v>
      </c>
      <c r="X43" t="s">
        <v>2834</v>
      </c>
      <c r="Y43" t="s">
        <v>2834</v>
      </c>
      <c r="Z43">
        <v>5</v>
      </c>
      <c r="AA43" t="s">
        <v>2789</v>
      </c>
      <c r="AB43">
        <v>0</v>
      </c>
      <c r="AC43" t="s">
        <v>2794</v>
      </c>
      <c r="AD43">
        <v>6846.48</v>
      </c>
      <c r="AE43">
        <v>2606.5899999999992</v>
      </c>
      <c r="AF43">
        <v>0.38071972750961069</v>
      </c>
      <c r="AG43" t="s">
        <v>2822</v>
      </c>
      <c r="AH43">
        <v>2024</v>
      </c>
      <c r="AI43" t="s">
        <v>2835</v>
      </c>
    </row>
    <row r="44" spans="1:35">
      <c r="A44" t="s">
        <v>226</v>
      </c>
      <c r="B44">
        <v>45940</v>
      </c>
      <c r="C44">
        <v>45945</v>
      </c>
      <c r="D44" t="s">
        <v>227</v>
      </c>
      <c r="E44" t="s">
        <v>53</v>
      </c>
      <c r="F44" t="s">
        <v>90</v>
      </c>
      <c r="G44" t="s">
        <v>38</v>
      </c>
      <c r="H44" t="s">
        <v>228</v>
      </c>
      <c r="I44" t="s">
        <v>229</v>
      </c>
      <c r="J44" t="s">
        <v>74</v>
      </c>
      <c r="K44" t="s">
        <v>171</v>
      </c>
      <c r="L44" t="s">
        <v>230</v>
      </c>
      <c r="M44" t="s">
        <v>59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32</v>
      </c>
      <c r="U44" t="s">
        <v>33</v>
      </c>
      <c r="V44" t="s">
        <v>2834</v>
      </c>
      <c r="W44" t="s">
        <v>2834</v>
      </c>
      <c r="X44" t="s">
        <v>2834</v>
      </c>
      <c r="Y44" t="s">
        <v>2834</v>
      </c>
      <c r="Z44">
        <v>5</v>
      </c>
      <c r="AA44" t="s">
        <v>2789</v>
      </c>
      <c r="AB44">
        <v>0.05</v>
      </c>
      <c r="AC44" t="s">
        <v>2794</v>
      </c>
      <c r="AD44">
        <v>7447.0119999999997</v>
      </c>
      <c r="AE44">
        <v>2950.7919999999995</v>
      </c>
      <c r="AF44">
        <v>0.39623838393170302</v>
      </c>
      <c r="AG44" t="s">
        <v>2829</v>
      </c>
      <c r="AH44">
        <v>2025</v>
      </c>
      <c r="AI44" t="s">
        <v>2835</v>
      </c>
    </row>
    <row r="45" spans="1:35">
      <c r="A45" t="s">
        <v>231</v>
      </c>
      <c r="B45">
        <v>45481</v>
      </c>
      <c r="C45">
        <v>45487</v>
      </c>
      <c r="D45" t="s">
        <v>232</v>
      </c>
      <c r="E45" t="s">
        <v>114</v>
      </c>
      <c r="F45" t="s">
        <v>37</v>
      </c>
      <c r="G45" t="s">
        <v>38</v>
      </c>
      <c r="H45" t="s">
        <v>39</v>
      </c>
      <c r="I45" t="s">
        <v>40</v>
      </c>
      <c r="J45" t="s">
        <v>41</v>
      </c>
      <c r="K45" t="s">
        <v>57</v>
      </c>
      <c r="L45" t="s">
        <v>233</v>
      </c>
      <c r="M45" t="s">
        <v>44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32</v>
      </c>
      <c r="U45" t="s">
        <v>33</v>
      </c>
      <c r="V45" t="s">
        <v>2834</v>
      </c>
      <c r="W45" t="s">
        <v>2834</v>
      </c>
      <c r="X45" t="s">
        <v>2834</v>
      </c>
      <c r="Y45" t="s">
        <v>2834</v>
      </c>
      <c r="Z45">
        <v>6</v>
      </c>
      <c r="AA45" t="s">
        <v>2789</v>
      </c>
      <c r="AB45">
        <v>0</v>
      </c>
      <c r="AC45" t="s">
        <v>2794</v>
      </c>
      <c r="AD45">
        <v>3030.69</v>
      </c>
      <c r="AE45">
        <v>1309.6100000000001</v>
      </c>
      <c r="AF45">
        <v>0.43211611877163292</v>
      </c>
      <c r="AG45" t="s">
        <v>2826</v>
      </c>
      <c r="AH45">
        <v>2024</v>
      </c>
      <c r="AI45" t="s">
        <v>2835</v>
      </c>
    </row>
    <row r="46" spans="1:35">
      <c r="A46" t="s">
        <v>234</v>
      </c>
      <c r="B46">
        <v>45465</v>
      </c>
      <c r="C46">
        <v>45468</v>
      </c>
      <c r="D46" t="s">
        <v>235</v>
      </c>
      <c r="E46" t="s">
        <v>141</v>
      </c>
      <c r="F46" t="s">
        <v>37</v>
      </c>
      <c r="G46" t="s">
        <v>25</v>
      </c>
      <c r="H46" t="s">
        <v>236</v>
      </c>
      <c r="I46" t="s">
        <v>237</v>
      </c>
      <c r="J46" t="s">
        <v>41</v>
      </c>
      <c r="K46" t="s">
        <v>66</v>
      </c>
      <c r="L46" t="s">
        <v>238</v>
      </c>
      <c r="M46" t="s">
        <v>59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32</v>
      </c>
      <c r="U46" t="s">
        <v>33</v>
      </c>
      <c r="V46" t="s">
        <v>2834</v>
      </c>
      <c r="W46" t="s">
        <v>2834</v>
      </c>
      <c r="X46" t="s">
        <v>2834</v>
      </c>
      <c r="Y46" t="s">
        <v>2834</v>
      </c>
      <c r="Z46">
        <v>3</v>
      </c>
      <c r="AA46" t="s">
        <v>2789</v>
      </c>
      <c r="AB46">
        <v>0.1</v>
      </c>
      <c r="AC46" t="s">
        <v>2794</v>
      </c>
      <c r="AD46">
        <v>26971.137000000002</v>
      </c>
      <c r="AE46">
        <v>9594.9370000000017</v>
      </c>
      <c r="AF46">
        <v>0.35574833200394929</v>
      </c>
      <c r="AG46" t="s">
        <v>2825</v>
      </c>
      <c r="AH46">
        <v>2024</v>
      </c>
      <c r="AI46" t="s">
        <v>2835</v>
      </c>
    </row>
    <row r="47" spans="1:35">
      <c r="A47" t="s">
        <v>239</v>
      </c>
      <c r="B47">
        <v>45309</v>
      </c>
      <c r="C47">
        <v>45315</v>
      </c>
      <c r="D47" t="s">
        <v>240</v>
      </c>
      <c r="E47" t="s">
        <v>47</v>
      </c>
      <c r="F47" t="s">
        <v>95</v>
      </c>
      <c r="G47" t="s">
        <v>38</v>
      </c>
      <c r="H47" t="s">
        <v>145</v>
      </c>
      <c r="I47" t="s">
        <v>146</v>
      </c>
      <c r="J47" t="s">
        <v>28</v>
      </c>
      <c r="K47" t="s">
        <v>48</v>
      </c>
      <c r="L47" t="s">
        <v>241</v>
      </c>
      <c r="M47" t="s">
        <v>31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111</v>
      </c>
      <c r="U47" t="s">
        <v>103</v>
      </c>
      <c r="V47" t="s">
        <v>2834</v>
      </c>
      <c r="W47" t="s">
        <v>2834</v>
      </c>
      <c r="X47" t="s">
        <v>2834</v>
      </c>
      <c r="Y47" t="s">
        <v>2834</v>
      </c>
      <c r="Z47">
        <v>6</v>
      </c>
      <c r="AA47" t="s">
        <v>2789</v>
      </c>
      <c r="AB47">
        <v>0.05</v>
      </c>
      <c r="AC47" t="s">
        <v>2794</v>
      </c>
      <c r="AD47">
        <v>29851.432000000001</v>
      </c>
      <c r="AE47">
        <v>12363.952000000001</v>
      </c>
      <c r="AF47">
        <v>0.41418287739094062</v>
      </c>
      <c r="AG47" t="s">
        <v>2820</v>
      </c>
      <c r="AH47">
        <v>2024</v>
      </c>
      <c r="AI47" t="s">
        <v>2835</v>
      </c>
    </row>
    <row r="48" spans="1:35">
      <c r="A48" t="s">
        <v>242</v>
      </c>
      <c r="B48">
        <v>45492</v>
      </c>
      <c r="C48">
        <v>45492</v>
      </c>
      <c r="D48" t="s">
        <v>243</v>
      </c>
      <c r="E48" t="s">
        <v>62</v>
      </c>
      <c r="F48" t="s">
        <v>37</v>
      </c>
      <c r="G48" t="s">
        <v>54</v>
      </c>
      <c r="H48" t="s">
        <v>185</v>
      </c>
      <c r="I48" t="s">
        <v>186</v>
      </c>
      <c r="J48" t="s">
        <v>41</v>
      </c>
      <c r="K48" t="s">
        <v>158</v>
      </c>
      <c r="L48" t="s">
        <v>244</v>
      </c>
      <c r="M48" t="s">
        <v>59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102</v>
      </c>
      <c r="U48" t="s">
        <v>103</v>
      </c>
      <c r="V48" t="s">
        <v>2834</v>
      </c>
      <c r="W48" t="s">
        <v>2834</v>
      </c>
      <c r="X48" t="s">
        <v>2834</v>
      </c>
      <c r="Y48" t="s">
        <v>2834</v>
      </c>
      <c r="Z48">
        <v>0</v>
      </c>
      <c r="AA48" t="s">
        <v>2789</v>
      </c>
      <c r="AB48">
        <v>0.25</v>
      </c>
      <c r="AC48" t="s">
        <v>2794</v>
      </c>
      <c r="AD48">
        <v>16110.8325</v>
      </c>
      <c r="AE48">
        <v>5430.8024999999998</v>
      </c>
      <c r="AF48">
        <v>0.33709012243780695</v>
      </c>
      <c r="AG48" t="s">
        <v>2826</v>
      </c>
      <c r="AH48">
        <v>2024</v>
      </c>
      <c r="AI48" t="s">
        <v>2835</v>
      </c>
    </row>
    <row r="49" spans="1:35">
      <c r="A49" t="s">
        <v>245</v>
      </c>
      <c r="B49">
        <v>45516</v>
      </c>
      <c r="C49">
        <v>45516</v>
      </c>
      <c r="D49" t="s">
        <v>246</v>
      </c>
      <c r="E49" t="s">
        <v>118</v>
      </c>
      <c r="F49" t="s">
        <v>90</v>
      </c>
      <c r="G49" t="s">
        <v>54</v>
      </c>
      <c r="H49" t="s">
        <v>247</v>
      </c>
      <c r="I49" t="s">
        <v>248</v>
      </c>
      <c r="J49" t="s">
        <v>28</v>
      </c>
      <c r="K49" t="s">
        <v>124</v>
      </c>
      <c r="L49" t="s">
        <v>249</v>
      </c>
      <c r="M49" t="s">
        <v>59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32</v>
      </c>
      <c r="U49" t="s">
        <v>33</v>
      </c>
      <c r="V49" t="s">
        <v>2834</v>
      </c>
      <c r="W49" t="s">
        <v>2834</v>
      </c>
      <c r="X49" t="s">
        <v>2834</v>
      </c>
      <c r="Y49" t="s">
        <v>2834</v>
      </c>
      <c r="Z49">
        <v>0</v>
      </c>
      <c r="AA49" t="s">
        <v>2789</v>
      </c>
      <c r="AB49">
        <v>0.1</v>
      </c>
      <c r="AC49" t="s">
        <v>2794</v>
      </c>
      <c r="AD49">
        <v>17606.232</v>
      </c>
      <c r="AE49">
        <v>5167.2720000000008</v>
      </c>
      <c r="AF49">
        <v>0.29349107747756592</v>
      </c>
      <c r="AG49" t="s">
        <v>2827</v>
      </c>
      <c r="AH49">
        <v>2024</v>
      </c>
      <c r="AI49" t="s">
        <v>2835</v>
      </c>
    </row>
    <row r="50" spans="1:35">
      <c r="A50" t="s">
        <v>250</v>
      </c>
      <c r="B50">
        <v>45687</v>
      </c>
      <c r="C50">
        <v>45693</v>
      </c>
      <c r="D50" t="s">
        <v>251</v>
      </c>
      <c r="E50" t="s">
        <v>79</v>
      </c>
      <c r="F50" t="s">
        <v>90</v>
      </c>
      <c r="G50" t="s">
        <v>63</v>
      </c>
      <c r="H50" t="s">
        <v>64</v>
      </c>
      <c r="I50" t="s">
        <v>65</v>
      </c>
      <c r="J50" t="s">
        <v>41</v>
      </c>
      <c r="K50" t="s">
        <v>66</v>
      </c>
      <c r="L50" t="s">
        <v>252</v>
      </c>
      <c r="M50" t="s">
        <v>31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32</v>
      </c>
      <c r="U50" t="s">
        <v>33</v>
      </c>
      <c r="V50" t="s">
        <v>2834</v>
      </c>
      <c r="W50" t="s">
        <v>2834</v>
      </c>
      <c r="X50" t="s">
        <v>2834</v>
      </c>
      <c r="Y50" t="s">
        <v>2834</v>
      </c>
      <c r="Z50">
        <v>6</v>
      </c>
      <c r="AA50" t="s">
        <v>2789</v>
      </c>
      <c r="AB50">
        <v>0</v>
      </c>
      <c r="AC50" t="s">
        <v>2794</v>
      </c>
      <c r="AD50">
        <v>28445.62</v>
      </c>
      <c r="AE50">
        <v>7507.0299999999988</v>
      </c>
      <c r="AF50">
        <v>0.26390811660986818</v>
      </c>
      <c r="AG50" t="s">
        <v>2820</v>
      </c>
      <c r="AH50">
        <v>2025</v>
      </c>
      <c r="AI50" t="s">
        <v>2835</v>
      </c>
    </row>
    <row r="51" spans="1:35">
      <c r="A51" t="s">
        <v>253</v>
      </c>
      <c r="B51">
        <v>45388</v>
      </c>
      <c r="C51">
        <v>45395</v>
      </c>
      <c r="D51" t="s">
        <v>254</v>
      </c>
      <c r="E51" t="s">
        <v>128</v>
      </c>
      <c r="F51" t="s">
        <v>95</v>
      </c>
      <c r="G51" t="s">
        <v>25</v>
      </c>
      <c r="H51" t="s">
        <v>136</v>
      </c>
      <c r="I51" t="s">
        <v>137</v>
      </c>
      <c r="J51" t="s">
        <v>74</v>
      </c>
      <c r="K51" t="s">
        <v>80</v>
      </c>
      <c r="L51" t="s">
        <v>255</v>
      </c>
      <c r="M51" t="s">
        <v>31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32</v>
      </c>
      <c r="U51" t="s">
        <v>33</v>
      </c>
      <c r="V51" t="s">
        <v>2834</v>
      </c>
      <c r="W51" t="s">
        <v>2834</v>
      </c>
      <c r="X51" t="s">
        <v>2834</v>
      </c>
      <c r="Y51" t="s">
        <v>2834</v>
      </c>
      <c r="Z51">
        <v>7</v>
      </c>
      <c r="AA51" t="s">
        <v>2789</v>
      </c>
      <c r="AB51">
        <v>0.05</v>
      </c>
      <c r="AC51" t="s">
        <v>2794</v>
      </c>
      <c r="AD51">
        <v>6772.5404999999992</v>
      </c>
      <c r="AE51">
        <v>1017.0804999999991</v>
      </c>
      <c r="AF51">
        <v>0.15017710119267641</v>
      </c>
      <c r="AG51" t="s">
        <v>2823</v>
      </c>
      <c r="AH51">
        <v>2024</v>
      </c>
      <c r="AI51" t="s">
        <v>2835</v>
      </c>
    </row>
    <row r="52" spans="1:35">
      <c r="A52" t="s">
        <v>256</v>
      </c>
      <c r="B52">
        <v>45788</v>
      </c>
      <c r="C52">
        <v>45796</v>
      </c>
      <c r="D52" t="s">
        <v>257</v>
      </c>
      <c r="E52" t="s">
        <v>132</v>
      </c>
      <c r="F52" t="s">
        <v>24</v>
      </c>
      <c r="G52" t="s">
        <v>38</v>
      </c>
      <c r="H52" t="s">
        <v>99</v>
      </c>
      <c r="I52" t="s">
        <v>100</v>
      </c>
      <c r="J52" t="s">
        <v>74</v>
      </c>
      <c r="K52" t="s">
        <v>80</v>
      </c>
      <c r="L52" t="s">
        <v>258</v>
      </c>
      <c r="M52" t="s">
        <v>59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32</v>
      </c>
      <c r="U52" t="s">
        <v>33</v>
      </c>
      <c r="V52" t="s">
        <v>2834</v>
      </c>
      <c r="W52" t="s">
        <v>2834</v>
      </c>
      <c r="X52" t="s">
        <v>2834</v>
      </c>
      <c r="Y52" t="s">
        <v>2834</v>
      </c>
      <c r="Z52">
        <v>8</v>
      </c>
      <c r="AA52" t="s">
        <v>2789</v>
      </c>
      <c r="AB52">
        <v>0.15</v>
      </c>
      <c r="AC52" t="s">
        <v>2794</v>
      </c>
      <c r="AD52">
        <v>2025.38</v>
      </c>
      <c r="AE52">
        <v>884.73</v>
      </c>
      <c r="AF52">
        <v>0.43682173221815163</v>
      </c>
      <c r="AG52" t="s">
        <v>2824</v>
      </c>
      <c r="AH52">
        <v>2025</v>
      </c>
      <c r="AI52" t="s">
        <v>2835</v>
      </c>
    </row>
    <row r="53" spans="1:35">
      <c r="A53" t="s">
        <v>259</v>
      </c>
      <c r="B53">
        <v>45406</v>
      </c>
      <c r="C53">
        <v>45411</v>
      </c>
      <c r="D53" t="s">
        <v>260</v>
      </c>
      <c r="E53" t="s">
        <v>62</v>
      </c>
      <c r="F53" t="s">
        <v>90</v>
      </c>
      <c r="G53" t="s">
        <v>54</v>
      </c>
      <c r="H53" t="s">
        <v>55</v>
      </c>
      <c r="I53" t="s">
        <v>56</v>
      </c>
      <c r="J53" t="s">
        <v>28</v>
      </c>
      <c r="K53" t="s">
        <v>48</v>
      </c>
      <c r="L53" t="s">
        <v>261</v>
      </c>
      <c r="M53" t="s">
        <v>59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32</v>
      </c>
      <c r="U53" t="s">
        <v>33</v>
      </c>
      <c r="V53" t="s">
        <v>2834</v>
      </c>
      <c r="W53" t="s">
        <v>2834</v>
      </c>
      <c r="X53" t="s">
        <v>2834</v>
      </c>
      <c r="Y53" t="s">
        <v>2834</v>
      </c>
      <c r="Z53">
        <v>5</v>
      </c>
      <c r="AA53" t="s">
        <v>2789</v>
      </c>
      <c r="AB53">
        <v>0</v>
      </c>
      <c r="AC53" t="s">
        <v>2794</v>
      </c>
      <c r="AD53">
        <v>9168.48</v>
      </c>
      <c r="AE53">
        <v>1728.7099999999991</v>
      </c>
      <c r="AF53">
        <v>0.18854924698532355</v>
      </c>
      <c r="AG53" t="s">
        <v>2823</v>
      </c>
      <c r="AH53">
        <v>2024</v>
      </c>
      <c r="AI53" t="s">
        <v>2835</v>
      </c>
    </row>
    <row r="54" spans="1:35">
      <c r="A54" t="s">
        <v>262</v>
      </c>
      <c r="B54">
        <v>45591</v>
      </c>
      <c r="C54">
        <v>45593</v>
      </c>
      <c r="D54" t="s">
        <v>263</v>
      </c>
      <c r="E54" t="s">
        <v>264</v>
      </c>
      <c r="F54" t="s">
        <v>37</v>
      </c>
      <c r="G54" t="s">
        <v>25</v>
      </c>
      <c r="H54" t="s">
        <v>26</v>
      </c>
      <c r="I54" t="s">
        <v>27</v>
      </c>
      <c r="J54" t="s">
        <v>41</v>
      </c>
      <c r="K54" t="s">
        <v>66</v>
      </c>
      <c r="L54" t="s">
        <v>265</v>
      </c>
      <c r="M54" t="s">
        <v>50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155</v>
      </c>
      <c r="U54" t="s">
        <v>68</v>
      </c>
      <c r="V54" t="s">
        <v>2834</v>
      </c>
      <c r="W54" t="s">
        <v>2834</v>
      </c>
      <c r="X54" t="s">
        <v>2834</v>
      </c>
      <c r="Y54" t="s">
        <v>2834</v>
      </c>
      <c r="Z54">
        <v>2</v>
      </c>
      <c r="AA54" t="s">
        <v>2789</v>
      </c>
      <c r="AB54">
        <v>0</v>
      </c>
      <c r="AC54" t="s">
        <v>2794</v>
      </c>
      <c r="AD54">
        <v>12596.670000000002</v>
      </c>
      <c r="AE54">
        <v>1993.380000000001</v>
      </c>
      <c r="AF54">
        <v>0.15824658421630483</v>
      </c>
      <c r="AG54" t="s">
        <v>2829</v>
      </c>
      <c r="AH54">
        <v>2024</v>
      </c>
      <c r="AI54" t="s">
        <v>2835</v>
      </c>
    </row>
    <row r="55" spans="1:35">
      <c r="A55" t="s">
        <v>266</v>
      </c>
      <c r="B55">
        <v>45747</v>
      </c>
      <c r="C55">
        <v>45747</v>
      </c>
      <c r="D55" t="s">
        <v>267</v>
      </c>
      <c r="E55" t="s">
        <v>264</v>
      </c>
      <c r="F55" t="s">
        <v>95</v>
      </c>
      <c r="G55" t="s">
        <v>63</v>
      </c>
      <c r="H55" t="s">
        <v>180</v>
      </c>
      <c r="I55" t="s">
        <v>181</v>
      </c>
      <c r="J55" t="s">
        <v>28</v>
      </c>
      <c r="K55" t="s">
        <v>124</v>
      </c>
      <c r="L55" t="s">
        <v>268</v>
      </c>
      <c r="M55" t="s">
        <v>50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32</v>
      </c>
      <c r="U55" t="s">
        <v>33</v>
      </c>
      <c r="V55" t="s">
        <v>2834</v>
      </c>
      <c r="W55" t="s">
        <v>2834</v>
      </c>
      <c r="X55" t="s">
        <v>2834</v>
      </c>
      <c r="Y55" t="s">
        <v>2834</v>
      </c>
      <c r="Z55">
        <v>0</v>
      </c>
      <c r="AA55" t="s">
        <v>2789</v>
      </c>
      <c r="AB55">
        <v>0.15</v>
      </c>
      <c r="AC55" t="s">
        <v>2794</v>
      </c>
      <c r="AD55">
        <v>5131.7475000000004</v>
      </c>
      <c r="AE55">
        <v>2293.0675000000006</v>
      </c>
      <c r="AF55">
        <v>0.44683950252813498</v>
      </c>
      <c r="AG55" t="s">
        <v>2822</v>
      </c>
      <c r="AH55">
        <v>2025</v>
      </c>
      <c r="AI55" t="s">
        <v>2835</v>
      </c>
    </row>
    <row r="56" spans="1:35">
      <c r="A56" t="s">
        <v>269</v>
      </c>
      <c r="B56">
        <v>45807</v>
      </c>
      <c r="C56">
        <v>45810</v>
      </c>
      <c r="D56" t="s">
        <v>270</v>
      </c>
      <c r="E56" t="s">
        <v>53</v>
      </c>
      <c r="F56" t="s">
        <v>90</v>
      </c>
      <c r="G56" t="s">
        <v>54</v>
      </c>
      <c r="H56" t="s">
        <v>247</v>
      </c>
      <c r="I56" t="s">
        <v>248</v>
      </c>
      <c r="J56" t="s">
        <v>28</v>
      </c>
      <c r="K56" t="s">
        <v>91</v>
      </c>
      <c r="L56" t="s">
        <v>271</v>
      </c>
      <c r="M56" t="s">
        <v>44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155</v>
      </c>
      <c r="U56" t="s">
        <v>68</v>
      </c>
      <c r="V56" t="s">
        <v>2834</v>
      </c>
      <c r="W56" t="s">
        <v>2834</v>
      </c>
      <c r="X56" t="s">
        <v>2834</v>
      </c>
      <c r="Y56" t="s">
        <v>2834</v>
      </c>
      <c r="Z56">
        <v>3</v>
      </c>
      <c r="AA56" t="s">
        <v>2789</v>
      </c>
      <c r="AB56">
        <v>0.1</v>
      </c>
      <c r="AC56" t="s">
        <v>2794</v>
      </c>
      <c r="AD56">
        <v>3415.4639999999999</v>
      </c>
      <c r="AE56">
        <v>1422.2339999999999</v>
      </c>
      <c r="AF56">
        <v>0.4164101861416194</v>
      </c>
      <c r="AG56" t="s">
        <v>2824</v>
      </c>
      <c r="AH56">
        <v>2025</v>
      </c>
      <c r="AI56" t="s">
        <v>2835</v>
      </c>
    </row>
    <row r="57" spans="1:35">
      <c r="A57" t="s">
        <v>272</v>
      </c>
      <c r="B57">
        <v>45839</v>
      </c>
      <c r="C57">
        <v>45841</v>
      </c>
      <c r="D57" t="s">
        <v>273</v>
      </c>
      <c r="E57" t="s">
        <v>36</v>
      </c>
      <c r="F57" t="s">
        <v>37</v>
      </c>
      <c r="G57" t="s">
        <v>54</v>
      </c>
      <c r="H57" t="s">
        <v>84</v>
      </c>
      <c r="I57" t="s">
        <v>85</v>
      </c>
      <c r="J57" t="s">
        <v>74</v>
      </c>
      <c r="K57" t="s">
        <v>274</v>
      </c>
      <c r="L57" t="s">
        <v>275</v>
      </c>
      <c r="M57" t="s">
        <v>44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32</v>
      </c>
      <c r="U57" t="s">
        <v>33</v>
      </c>
      <c r="V57" t="s">
        <v>2834</v>
      </c>
      <c r="W57" t="s">
        <v>2834</v>
      </c>
      <c r="X57" t="s">
        <v>2834</v>
      </c>
      <c r="Y57" t="s">
        <v>2834</v>
      </c>
      <c r="Z57">
        <v>2</v>
      </c>
      <c r="AA57" t="s">
        <v>2789</v>
      </c>
      <c r="AB57">
        <v>0.25</v>
      </c>
      <c r="AC57" t="s">
        <v>2794</v>
      </c>
      <c r="AD57">
        <v>3411.54</v>
      </c>
      <c r="AE57">
        <v>608.40999999999985</v>
      </c>
      <c r="AF57">
        <v>0.17833881472883209</v>
      </c>
      <c r="AG57" t="s">
        <v>2826</v>
      </c>
      <c r="AH57">
        <v>2025</v>
      </c>
      <c r="AI57" t="s">
        <v>2835</v>
      </c>
    </row>
    <row r="58" spans="1:35">
      <c r="A58" t="s">
        <v>276</v>
      </c>
      <c r="B58">
        <v>45662</v>
      </c>
      <c r="C58">
        <v>45663</v>
      </c>
      <c r="D58" t="s">
        <v>277</v>
      </c>
      <c r="E58" t="s">
        <v>23</v>
      </c>
      <c r="F58" t="s">
        <v>24</v>
      </c>
      <c r="G58" t="s">
        <v>54</v>
      </c>
      <c r="H58" t="s">
        <v>175</v>
      </c>
      <c r="I58" t="s">
        <v>176</v>
      </c>
      <c r="J58" t="s">
        <v>28</v>
      </c>
      <c r="K58" t="s">
        <v>153</v>
      </c>
      <c r="L58" t="s">
        <v>278</v>
      </c>
      <c r="M58" t="s">
        <v>31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102</v>
      </c>
      <c r="U58" t="s">
        <v>68</v>
      </c>
      <c r="V58" t="s">
        <v>2834</v>
      </c>
      <c r="W58" t="s">
        <v>2834</v>
      </c>
      <c r="X58" t="s">
        <v>2834</v>
      </c>
      <c r="Y58" t="s">
        <v>2834</v>
      </c>
      <c r="Z58">
        <v>1</v>
      </c>
      <c r="AA58" t="s">
        <v>2789</v>
      </c>
      <c r="AB58">
        <v>0</v>
      </c>
      <c r="AC58" t="s">
        <v>2794</v>
      </c>
      <c r="AD58">
        <v>9466.83</v>
      </c>
      <c r="AE58">
        <v>2909</v>
      </c>
      <c r="AF58">
        <v>0.30728343067320318</v>
      </c>
      <c r="AG58" t="s">
        <v>2820</v>
      </c>
      <c r="AH58">
        <v>2025</v>
      </c>
      <c r="AI58" t="s">
        <v>2835</v>
      </c>
    </row>
    <row r="59" spans="1:35">
      <c r="A59" t="s">
        <v>279</v>
      </c>
      <c r="B59">
        <v>45329</v>
      </c>
      <c r="C59">
        <v>45337</v>
      </c>
      <c r="D59" t="s">
        <v>280</v>
      </c>
      <c r="E59" t="s">
        <v>114</v>
      </c>
      <c r="F59" t="s">
        <v>24</v>
      </c>
      <c r="G59" t="s">
        <v>63</v>
      </c>
      <c r="H59" t="s">
        <v>190</v>
      </c>
      <c r="I59" t="s">
        <v>191</v>
      </c>
      <c r="J59" t="s">
        <v>41</v>
      </c>
      <c r="K59" t="s">
        <v>66</v>
      </c>
      <c r="L59" t="s">
        <v>281</v>
      </c>
      <c r="M59" t="s">
        <v>44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32</v>
      </c>
      <c r="U59" t="s">
        <v>33</v>
      </c>
      <c r="V59" t="s">
        <v>2834</v>
      </c>
      <c r="W59" t="s">
        <v>2834</v>
      </c>
      <c r="X59" t="s">
        <v>2834</v>
      </c>
      <c r="Y59" t="s">
        <v>2834</v>
      </c>
      <c r="Z59">
        <v>8</v>
      </c>
      <c r="AA59" t="s">
        <v>2789</v>
      </c>
      <c r="AB59">
        <v>0</v>
      </c>
      <c r="AC59" t="s">
        <v>2794</v>
      </c>
      <c r="AD59">
        <v>1279.3499999999999</v>
      </c>
      <c r="AE59">
        <v>187.80999999999995</v>
      </c>
      <c r="AF59">
        <v>0.14680110993864068</v>
      </c>
      <c r="AG59" t="s">
        <v>2821</v>
      </c>
      <c r="AH59">
        <v>2024</v>
      </c>
      <c r="AI59" t="s">
        <v>2835</v>
      </c>
    </row>
    <row r="60" spans="1:35">
      <c r="A60" t="s">
        <v>282</v>
      </c>
      <c r="B60">
        <v>45536</v>
      </c>
      <c r="C60">
        <v>45542</v>
      </c>
      <c r="D60" t="s">
        <v>283</v>
      </c>
      <c r="E60" t="s">
        <v>47</v>
      </c>
      <c r="F60" t="s">
        <v>95</v>
      </c>
      <c r="G60" t="s">
        <v>25</v>
      </c>
      <c r="H60" t="s">
        <v>26</v>
      </c>
      <c r="I60" t="s">
        <v>27</v>
      </c>
      <c r="J60" t="s">
        <v>28</v>
      </c>
      <c r="K60" t="s">
        <v>124</v>
      </c>
      <c r="L60" t="s">
        <v>284</v>
      </c>
      <c r="M60" t="s">
        <v>2791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111</v>
      </c>
      <c r="U60" t="s">
        <v>103</v>
      </c>
      <c r="V60" t="s">
        <v>2834</v>
      </c>
      <c r="W60" t="s">
        <v>2834</v>
      </c>
      <c r="X60" t="s">
        <v>2834</v>
      </c>
      <c r="Y60" t="s">
        <v>2834</v>
      </c>
      <c r="Z60">
        <v>6</v>
      </c>
      <c r="AA60" t="s">
        <v>2789</v>
      </c>
      <c r="AB60">
        <v>0.1</v>
      </c>
      <c r="AC60" t="s">
        <v>2794</v>
      </c>
      <c r="AD60">
        <v>11254.788</v>
      </c>
      <c r="AE60">
        <v>4676.7280000000001</v>
      </c>
      <c r="AF60">
        <v>0.41553230500654476</v>
      </c>
      <c r="AG60" t="s">
        <v>2828</v>
      </c>
      <c r="AH60">
        <v>2024</v>
      </c>
      <c r="AI60" t="s">
        <v>2838</v>
      </c>
    </row>
    <row r="61" spans="1:35">
      <c r="A61" t="s">
        <v>285</v>
      </c>
      <c r="B61">
        <v>45493</v>
      </c>
      <c r="C61">
        <v>45498</v>
      </c>
      <c r="D61" t="s">
        <v>286</v>
      </c>
      <c r="E61" t="s">
        <v>114</v>
      </c>
      <c r="F61" t="s">
        <v>90</v>
      </c>
      <c r="G61" t="s">
        <v>38</v>
      </c>
      <c r="H61" t="s">
        <v>166</v>
      </c>
      <c r="I61" t="s">
        <v>167</v>
      </c>
      <c r="J61" t="s">
        <v>28</v>
      </c>
      <c r="K61" t="s">
        <v>91</v>
      </c>
      <c r="L61" t="s">
        <v>287</v>
      </c>
      <c r="M61" t="s">
        <v>44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32</v>
      </c>
      <c r="U61" t="s">
        <v>68</v>
      </c>
      <c r="V61" t="s">
        <v>2834</v>
      </c>
      <c r="W61" t="s">
        <v>2834</v>
      </c>
      <c r="X61" t="s">
        <v>2834</v>
      </c>
      <c r="Y61" t="s">
        <v>2834</v>
      </c>
      <c r="Z61">
        <v>5</v>
      </c>
      <c r="AA61" t="s">
        <v>2789</v>
      </c>
      <c r="AB61">
        <v>0.2</v>
      </c>
      <c r="AC61" t="s">
        <v>2794</v>
      </c>
      <c r="AD61">
        <v>16535.400000000001</v>
      </c>
      <c r="AE61">
        <v>3545.1900000000023</v>
      </c>
      <c r="AF61">
        <v>0.21440001451431487</v>
      </c>
      <c r="AG61" t="s">
        <v>2826</v>
      </c>
      <c r="AH61">
        <v>2024</v>
      </c>
      <c r="AI61" t="s">
        <v>2835</v>
      </c>
    </row>
    <row r="62" spans="1:35">
      <c r="A62" t="s">
        <v>288</v>
      </c>
      <c r="B62">
        <v>45486</v>
      </c>
      <c r="C62">
        <v>45492</v>
      </c>
      <c r="D62" t="s">
        <v>289</v>
      </c>
      <c r="E62" t="s">
        <v>62</v>
      </c>
      <c r="F62" t="s">
        <v>90</v>
      </c>
      <c r="G62" t="s">
        <v>38</v>
      </c>
      <c r="H62" t="s">
        <v>166</v>
      </c>
      <c r="I62" t="s">
        <v>167</v>
      </c>
      <c r="J62" t="s">
        <v>28</v>
      </c>
      <c r="K62" t="s">
        <v>91</v>
      </c>
      <c r="L62" t="s">
        <v>290</v>
      </c>
      <c r="M62" t="s">
        <v>44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102</v>
      </c>
      <c r="U62" t="s">
        <v>68</v>
      </c>
      <c r="V62" t="s">
        <v>2834</v>
      </c>
      <c r="W62" t="s">
        <v>2834</v>
      </c>
      <c r="X62" t="s">
        <v>2834</v>
      </c>
      <c r="Y62" t="s">
        <v>2834</v>
      </c>
      <c r="Z62">
        <v>6</v>
      </c>
      <c r="AA62" t="s">
        <v>2789</v>
      </c>
      <c r="AB62">
        <v>0.2</v>
      </c>
      <c r="AC62" t="s">
        <v>2794</v>
      </c>
      <c r="AD62">
        <v>661.82400000000007</v>
      </c>
      <c r="AE62">
        <v>180.35400000000004</v>
      </c>
      <c r="AF62">
        <v>0.27251051639106472</v>
      </c>
      <c r="AG62" t="s">
        <v>2826</v>
      </c>
      <c r="AH62">
        <v>2024</v>
      </c>
      <c r="AI62" t="s">
        <v>2835</v>
      </c>
    </row>
    <row r="63" spans="1:35">
      <c r="A63" t="s">
        <v>291</v>
      </c>
      <c r="B63">
        <v>45398</v>
      </c>
      <c r="C63">
        <v>45398</v>
      </c>
      <c r="D63" t="s">
        <v>292</v>
      </c>
      <c r="E63" t="s">
        <v>71</v>
      </c>
      <c r="F63" t="s">
        <v>95</v>
      </c>
      <c r="G63" t="s">
        <v>38</v>
      </c>
      <c r="H63" t="s">
        <v>145</v>
      </c>
      <c r="I63" t="s">
        <v>146</v>
      </c>
      <c r="J63" t="s">
        <v>41</v>
      </c>
      <c r="K63" t="s">
        <v>158</v>
      </c>
      <c r="L63" t="s">
        <v>293</v>
      </c>
      <c r="M63" t="s">
        <v>59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32</v>
      </c>
      <c r="U63" t="s">
        <v>33</v>
      </c>
      <c r="V63" t="s">
        <v>2834</v>
      </c>
      <c r="W63" t="s">
        <v>2834</v>
      </c>
      <c r="X63" t="s">
        <v>2834</v>
      </c>
      <c r="Y63" t="s">
        <v>2834</v>
      </c>
      <c r="Z63">
        <v>0</v>
      </c>
      <c r="AA63" t="s">
        <v>2789</v>
      </c>
      <c r="AB63">
        <v>0</v>
      </c>
      <c r="AC63" t="s">
        <v>2794</v>
      </c>
      <c r="AD63">
        <v>949.59</v>
      </c>
      <c r="AE63">
        <v>198.34000000000003</v>
      </c>
      <c r="AF63">
        <v>0.20886909087079689</v>
      </c>
      <c r="AG63" t="s">
        <v>2823</v>
      </c>
      <c r="AH63">
        <v>2024</v>
      </c>
      <c r="AI63" t="s">
        <v>2835</v>
      </c>
    </row>
    <row r="64" spans="1:35">
      <c r="A64" t="s">
        <v>294</v>
      </c>
      <c r="B64">
        <v>45595</v>
      </c>
      <c r="C64">
        <v>45598</v>
      </c>
      <c r="D64" t="s">
        <v>295</v>
      </c>
      <c r="E64" t="s">
        <v>132</v>
      </c>
      <c r="F64" t="s">
        <v>95</v>
      </c>
      <c r="G64" t="s">
        <v>25</v>
      </c>
      <c r="H64" t="s">
        <v>26</v>
      </c>
      <c r="I64" t="s">
        <v>27</v>
      </c>
      <c r="J64" t="s">
        <v>74</v>
      </c>
      <c r="K64" t="s">
        <v>171</v>
      </c>
      <c r="L64" t="s">
        <v>296</v>
      </c>
      <c r="M64" t="s">
        <v>59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32</v>
      </c>
      <c r="U64" t="s">
        <v>33</v>
      </c>
      <c r="V64" t="s">
        <v>2834</v>
      </c>
      <c r="W64" t="s">
        <v>2834</v>
      </c>
      <c r="X64" t="s">
        <v>2834</v>
      </c>
      <c r="Y64" t="s">
        <v>2834</v>
      </c>
      <c r="Z64">
        <v>3</v>
      </c>
      <c r="AA64" t="s">
        <v>2789</v>
      </c>
      <c r="AB64">
        <v>0.2</v>
      </c>
      <c r="AC64" t="s">
        <v>2794</v>
      </c>
      <c r="AD64">
        <v>21904.488000000001</v>
      </c>
      <c r="AE64">
        <v>8333.9380000000019</v>
      </c>
      <c r="AF64">
        <v>0.38046714445003244</v>
      </c>
      <c r="AG64" t="s">
        <v>2829</v>
      </c>
      <c r="AH64">
        <v>2024</v>
      </c>
      <c r="AI64" t="s">
        <v>2835</v>
      </c>
    </row>
    <row r="65" spans="1:35">
      <c r="A65" t="s">
        <v>297</v>
      </c>
      <c r="B65">
        <v>45316</v>
      </c>
      <c r="C65">
        <v>45323</v>
      </c>
      <c r="D65" t="s">
        <v>298</v>
      </c>
      <c r="E65" t="s">
        <v>132</v>
      </c>
      <c r="F65" t="s">
        <v>95</v>
      </c>
      <c r="G65" t="s">
        <v>25</v>
      </c>
      <c r="H65" t="s">
        <v>236</v>
      </c>
      <c r="I65" t="s">
        <v>237</v>
      </c>
      <c r="J65" t="s">
        <v>28</v>
      </c>
      <c r="K65" t="s">
        <v>153</v>
      </c>
      <c r="L65" t="s">
        <v>299</v>
      </c>
      <c r="M65" t="s">
        <v>44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32</v>
      </c>
      <c r="U65" t="s">
        <v>33</v>
      </c>
      <c r="V65" t="s">
        <v>2834</v>
      </c>
      <c r="W65" t="s">
        <v>2834</v>
      </c>
      <c r="X65" t="s">
        <v>2834</v>
      </c>
      <c r="Y65" t="s">
        <v>2834</v>
      </c>
      <c r="Z65">
        <v>7</v>
      </c>
      <c r="AA65" t="s">
        <v>2789</v>
      </c>
      <c r="AB65">
        <v>0.15</v>
      </c>
      <c r="AC65" t="s">
        <v>2794</v>
      </c>
      <c r="AD65">
        <v>4815.7089999999998</v>
      </c>
      <c r="AE65">
        <v>1787.9589999999998</v>
      </c>
      <c r="AF65">
        <v>0.37127637903369992</v>
      </c>
      <c r="AG65" t="s">
        <v>2820</v>
      </c>
      <c r="AH65">
        <v>2024</v>
      </c>
      <c r="AI65" t="s">
        <v>2835</v>
      </c>
    </row>
    <row r="66" spans="1:35">
      <c r="A66" t="s">
        <v>300</v>
      </c>
      <c r="B66">
        <v>45649</v>
      </c>
      <c r="C66">
        <v>45655</v>
      </c>
      <c r="D66" t="s">
        <v>301</v>
      </c>
      <c r="E66" t="s">
        <v>128</v>
      </c>
      <c r="F66" t="s">
        <v>90</v>
      </c>
      <c r="G66" t="s">
        <v>38</v>
      </c>
      <c r="H66" t="s">
        <v>228</v>
      </c>
      <c r="I66" t="s">
        <v>229</v>
      </c>
      <c r="J66" t="s">
        <v>28</v>
      </c>
      <c r="K66" t="s">
        <v>29</v>
      </c>
      <c r="L66" t="s">
        <v>302</v>
      </c>
      <c r="M66" t="s">
        <v>50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102</v>
      </c>
      <c r="U66" t="s">
        <v>103</v>
      </c>
      <c r="V66" t="s">
        <v>2834</v>
      </c>
      <c r="W66" t="s">
        <v>2834</v>
      </c>
      <c r="X66" t="s">
        <v>2834</v>
      </c>
      <c r="Y66" t="s">
        <v>2834</v>
      </c>
      <c r="Z66">
        <v>6</v>
      </c>
      <c r="AA66" t="s">
        <v>2789</v>
      </c>
      <c r="AB66">
        <v>0</v>
      </c>
      <c r="AC66" t="s">
        <v>2794</v>
      </c>
      <c r="AD66">
        <v>3134.8799999999997</v>
      </c>
      <c r="AE66">
        <v>767.24999999999955</v>
      </c>
      <c r="AF66">
        <v>0.24474621038125849</v>
      </c>
      <c r="AG66" t="s">
        <v>2831</v>
      </c>
      <c r="AH66">
        <v>2024</v>
      </c>
      <c r="AI66" t="s">
        <v>2835</v>
      </c>
    </row>
    <row r="67" spans="1:35">
      <c r="A67" t="s">
        <v>303</v>
      </c>
      <c r="B67">
        <v>45404</v>
      </c>
      <c r="C67">
        <v>45409</v>
      </c>
      <c r="D67" t="s">
        <v>304</v>
      </c>
      <c r="E67" t="s">
        <v>36</v>
      </c>
      <c r="F67" t="s">
        <v>95</v>
      </c>
      <c r="G67" t="s">
        <v>63</v>
      </c>
      <c r="H67" t="s">
        <v>64</v>
      </c>
      <c r="I67" t="s">
        <v>65</v>
      </c>
      <c r="J67" t="s">
        <v>28</v>
      </c>
      <c r="K67" t="s">
        <v>29</v>
      </c>
      <c r="L67" t="s">
        <v>305</v>
      </c>
      <c r="M67" t="s">
        <v>31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32</v>
      </c>
      <c r="U67" t="s">
        <v>33</v>
      </c>
      <c r="V67" t="s">
        <v>2834</v>
      </c>
      <c r="W67" t="s">
        <v>2834</v>
      </c>
      <c r="X67" t="s">
        <v>2834</v>
      </c>
      <c r="Y67" t="s">
        <v>2834</v>
      </c>
      <c r="Z67">
        <v>5</v>
      </c>
      <c r="AA67" t="s">
        <v>2789</v>
      </c>
      <c r="AB67">
        <v>0.05</v>
      </c>
      <c r="AC67" t="s">
        <v>2794</v>
      </c>
      <c r="AD67">
        <v>4066.1804999999995</v>
      </c>
      <c r="AE67">
        <v>1437.2604999999994</v>
      </c>
      <c r="AF67">
        <v>0.35346696980126674</v>
      </c>
      <c r="AG67" t="s">
        <v>2823</v>
      </c>
      <c r="AH67">
        <v>2024</v>
      </c>
      <c r="AI67" t="s">
        <v>2835</v>
      </c>
    </row>
    <row r="68" spans="1:35">
      <c r="A68" t="s">
        <v>306</v>
      </c>
      <c r="B68">
        <v>45897</v>
      </c>
      <c r="C68">
        <v>45901</v>
      </c>
      <c r="D68" t="s">
        <v>307</v>
      </c>
      <c r="E68" t="s">
        <v>23</v>
      </c>
      <c r="F68" t="s">
        <v>37</v>
      </c>
      <c r="G68" t="s">
        <v>54</v>
      </c>
      <c r="H68" t="s">
        <v>247</v>
      </c>
      <c r="I68" t="s">
        <v>248</v>
      </c>
      <c r="J68" t="s">
        <v>74</v>
      </c>
      <c r="K68" t="s">
        <v>75</v>
      </c>
      <c r="L68" t="s">
        <v>308</v>
      </c>
      <c r="M68" t="s">
        <v>44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32</v>
      </c>
      <c r="U68" t="s">
        <v>33</v>
      </c>
      <c r="V68" t="s">
        <v>2834</v>
      </c>
      <c r="W68" t="s">
        <v>2834</v>
      </c>
      <c r="X68" t="s">
        <v>2834</v>
      </c>
      <c r="Y68" t="s">
        <v>2834</v>
      </c>
      <c r="Z68">
        <v>4</v>
      </c>
      <c r="AA68" t="s">
        <v>2789</v>
      </c>
      <c r="AB68">
        <v>0.05</v>
      </c>
      <c r="AC68" t="s">
        <v>2794</v>
      </c>
      <c r="AD68">
        <v>7032.1089999999995</v>
      </c>
      <c r="AE68">
        <v>2421.7689999999993</v>
      </c>
      <c r="AF68">
        <v>0.34438729547565311</v>
      </c>
      <c r="AG68" t="s">
        <v>2827</v>
      </c>
      <c r="AH68">
        <v>2025</v>
      </c>
      <c r="AI68" t="s">
        <v>2835</v>
      </c>
    </row>
    <row r="69" spans="1:35">
      <c r="A69" t="s">
        <v>309</v>
      </c>
      <c r="B69">
        <v>45691</v>
      </c>
      <c r="C69">
        <v>45695</v>
      </c>
      <c r="D69" t="s">
        <v>310</v>
      </c>
      <c r="E69" t="s">
        <v>264</v>
      </c>
      <c r="F69" t="s">
        <v>24</v>
      </c>
      <c r="G69" t="s">
        <v>25</v>
      </c>
      <c r="H69" t="s">
        <v>236</v>
      </c>
      <c r="I69" t="s">
        <v>237</v>
      </c>
      <c r="J69" t="s">
        <v>28</v>
      </c>
      <c r="K69" t="s">
        <v>29</v>
      </c>
      <c r="L69" t="s">
        <v>311</v>
      </c>
      <c r="M69" t="s">
        <v>50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32</v>
      </c>
      <c r="U69" t="s">
        <v>33</v>
      </c>
      <c r="V69" t="s">
        <v>2834</v>
      </c>
      <c r="W69" t="s">
        <v>2834</v>
      </c>
      <c r="X69" t="s">
        <v>2834</v>
      </c>
      <c r="Y69" t="s">
        <v>2834</v>
      </c>
      <c r="Z69">
        <v>4</v>
      </c>
      <c r="AA69" t="s">
        <v>2789</v>
      </c>
      <c r="AB69">
        <v>0.05</v>
      </c>
      <c r="AC69" t="s">
        <v>2794</v>
      </c>
      <c r="AD69">
        <v>24002.111000000001</v>
      </c>
      <c r="AE69">
        <v>5294.5410000000011</v>
      </c>
      <c r="AF69">
        <v>0.2205864725815159</v>
      </c>
      <c r="AG69" t="s">
        <v>2821</v>
      </c>
      <c r="AH69">
        <v>2025</v>
      </c>
      <c r="AI69" t="s">
        <v>2835</v>
      </c>
    </row>
    <row r="70" spans="1:35">
      <c r="A70" t="s">
        <v>312</v>
      </c>
      <c r="B70">
        <v>45606</v>
      </c>
      <c r="C70">
        <v>45609</v>
      </c>
      <c r="D70" t="s">
        <v>313</v>
      </c>
      <c r="E70" t="s">
        <v>47</v>
      </c>
      <c r="F70" t="s">
        <v>90</v>
      </c>
      <c r="G70" t="s">
        <v>38</v>
      </c>
      <c r="H70" t="s">
        <v>228</v>
      </c>
      <c r="I70" t="s">
        <v>229</v>
      </c>
      <c r="J70" t="s">
        <v>28</v>
      </c>
      <c r="K70" t="s">
        <v>124</v>
      </c>
      <c r="L70" t="s">
        <v>314</v>
      </c>
      <c r="M70" t="s">
        <v>31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155</v>
      </c>
      <c r="U70" t="s">
        <v>103</v>
      </c>
      <c r="V70" t="s">
        <v>2834</v>
      </c>
      <c r="W70" t="s">
        <v>2834</v>
      </c>
      <c r="X70" t="s">
        <v>2834</v>
      </c>
      <c r="Y70" t="s">
        <v>2834</v>
      </c>
      <c r="Z70">
        <v>3</v>
      </c>
      <c r="AA70" t="s">
        <v>2789</v>
      </c>
      <c r="AB70">
        <v>0</v>
      </c>
      <c r="AC70" t="s">
        <v>2794</v>
      </c>
      <c r="AD70">
        <v>19900.079999999998</v>
      </c>
      <c r="AE70">
        <v>8937.4199999999983</v>
      </c>
      <c r="AF70">
        <v>0.44911477742803041</v>
      </c>
      <c r="AG70" t="s">
        <v>2830</v>
      </c>
      <c r="AH70">
        <v>2024</v>
      </c>
      <c r="AI70" t="s">
        <v>2835</v>
      </c>
    </row>
    <row r="71" spans="1:35">
      <c r="A71" t="s">
        <v>315</v>
      </c>
      <c r="B71">
        <v>45391</v>
      </c>
      <c r="C71">
        <v>45396</v>
      </c>
      <c r="D71" t="s">
        <v>316</v>
      </c>
      <c r="E71" t="s">
        <v>79</v>
      </c>
      <c r="F71" t="s">
        <v>37</v>
      </c>
      <c r="G71" t="s">
        <v>63</v>
      </c>
      <c r="H71" t="s">
        <v>180</v>
      </c>
      <c r="I71" t="s">
        <v>181</v>
      </c>
      <c r="J71" t="s">
        <v>74</v>
      </c>
      <c r="K71" t="s">
        <v>274</v>
      </c>
      <c r="L71" t="s">
        <v>317</v>
      </c>
      <c r="M71" t="s">
        <v>44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102</v>
      </c>
      <c r="U71" t="s">
        <v>103</v>
      </c>
      <c r="V71" t="s">
        <v>2834</v>
      </c>
      <c r="W71" t="s">
        <v>2834</v>
      </c>
      <c r="X71" t="s">
        <v>2834</v>
      </c>
      <c r="Y71" t="s">
        <v>2834</v>
      </c>
      <c r="Z71">
        <v>5</v>
      </c>
      <c r="AA71" t="s">
        <v>2789</v>
      </c>
      <c r="AB71">
        <v>0.1</v>
      </c>
      <c r="AC71" t="s">
        <v>2794</v>
      </c>
      <c r="AD71">
        <v>21527.667000000001</v>
      </c>
      <c r="AE71">
        <v>3240.0869999999995</v>
      </c>
      <c r="AF71">
        <v>0.15050804158202555</v>
      </c>
      <c r="AG71" t="s">
        <v>2823</v>
      </c>
      <c r="AH71">
        <v>2024</v>
      </c>
      <c r="AI71" t="s">
        <v>2835</v>
      </c>
    </row>
    <row r="72" spans="1:35">
      <c r="A72" t="s">
        <v>318</v>
      </c>
      <c r="B72">
        <v>45891</v>
      </c>
      <c r="C72">
        <v>45896</v>
      </c>
      <c r="D72" t="s">
        <v>319</v>
      </c>
      <c r="E72" t="s">
        <v>23</v>
      </c>
      <c r="F72" t="s">
        <v>90</v>
      </c>
      <c r="G72" t="s">
        <v>54</v>
      </c>
      <c r="H72" t="s">
        <v>84</v>
      </c>
      <c r="I72" t="s">
        <v>85</v>
      </c>
      <c r="J72" t="s">
        <v>74</v>
      </c>
      <c r="K72" t="s">
        <v>171</v>
      </c>
      <c r="L72" t="s">
        <v>320</v>
      </c>
      <c r="M72" t="s">
        <v>50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32</v>
      </c>
      <c r="U72" t="s">
        <v>33</v>
      </c>
      <c r="V72" t="s">
        <v>2834</v>
      </c>
      <c r="W72" t="s">
        <v>2834</v>
      </c>
      <c r="X72" t="s">
        <v>2834</v>
      </c>
      <c r="Y72" t="s">
        <v>2834</v>
      </c>
      <c r="Z72">
        <v>5</v>
      </c>
      <c r="AA72" t="s">
        <v>2789</v>
      </c>
      <c r="AB72">
        <v>0.15</v>
      </c>
      <c r="AC72" t="s">
        <v>2794</v>
      </c>
      <c r="AD72">
        <v>1539.979</v>
      </c>
      <c r="AE72">
        <v>469.779</v>
      </c>
      <c r="AF72">
        <v>0.30505545854846072</v>
      </c>
      <c r="AG72" t="s">
        <v>2827</v>
      </c>
      <c r="AH72">
        <v>2025</v>
      </c>
      <c r="AI72" t="s">
        <v>2835</v>
      </c>
    </row>
    <row r="73" spans="1:35">
      <c r="A73" t="s">
        <v>321</v>
      </c>
      <c r="B73">
        <v>45763</v>
      </c>
      <c r="C73">
        <v>45770</v>
      </c>
      <c r="D73" t="s">
        <v>322</v>
      </c>
      <c r="E73" t="s">
        <v>36</v>
      </c>
      <c r="F73" t="s">
        <v>37</v>
      </c>
      <c r="G73" t="s">
        <v>63</v>
      </c>
      <c r="H73" t="s">
        <v>190</v>
      </c>
      <c r="I73" t="s">
        <v>191</v>
      </c>
      <c r="J73" t="s">
        <v>74</v>
      </c>
      <c r="K73" t="s">
        <v>274</v>
      </c>
      <c r="L73" t="s">
        <v>323</v>
      </c>
      <c r="M73" t="s">
        <v>59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32</v>
      </c>
      <c r="U73" t="s">
        <v>33</v>
      </c>
      <c r="V73" t="s">
        <v>2834</v>
      </c>
      <c r="W73" t="s">
        <v>2834</v>
      </c>
      <c r="X73" t="s">
        <v>2834</v>
      </c>
      <c r="Y73" t="s">
        <v>2834</v>
      </c>
      <c r="Z73">
        <v>7</v>
      </c>
      <c r="AA73" t="s">
        <v>2789</v>
      </c>
      <c r="AB73">
        <v>0.1</v>
      </c>
      <c r="AC73" t="s">
        <v>2794</v>
      </c>
      <c r="AD73">
        <v>10947.528</v>
      </c>
      <c r="AE73">
        <v>4500.1680000000006</v>
      </c>
      <c r="AF73">
        <v>0.41106704636882413</v>
      </c>
      <c r="AG73" t="s">
        <v>2823</v>
      </c>
      <c r="AH73">
        <v>2025</v>
      </c>
      <c r="AI73" t="s">
        <v>2835</v>
      </c>
    </row>
    <row r="74" spans="1:35">
      <c r="A74" t="s">
        <v>324</v>
      </c>
      <c r="B74">
        <v>45333</v>
      </c>
      <c r="C74">
        <v>45329</v>
      </c>
      <c r="D74" t="s">
        <v>325</v>
      </c>
      <c r="E74" t="s">
        <v>23</v>
      </c>
      <c r="F74" t="s">
        <v>95</v>
      </c>
      <c r="G74" t="s">
        <v>54</v>
      </c>
      <c r="H74" t="s">
        <v>247</v>
      </c>
      <c r="I74" t="s">
        <v>248</v>
      </c>
      <c r="J74" t="s">
        <v>41</v>
      </c>
      <c r="K74" t="s">
        <v>42</v>
      </c>
      <c r="L74" t="s">
        <v>326</v>
      </c>
      <c r="M74" t="s">
        <v>50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32</v>
      </c>
      <c r="U74" t="s">
        <v>33</v>
      </c>
      <c r="V74" t="s">
        <v>2834</v>
      </c>
      <c r="W74" t="s">
        <v>2834</v>
      </c>
      <c r="X74" t="s">
        <v>2834</v>
      </c>
      <c r="Y74" t="s">
        <v>2837</v>
      </c>
      <c r="Z74">
        <v>-4</v>
      </c>
      <c r="AA74" t="s">
        <v>2789</v>
      </c>
      <c r="AB74">
        <v>0.15</v>
      </c>
      <c r="AC74" t="s">
        <v>2794</v>
      </c>
      <c r="AD74">
        <v>13610.446499999998</v>
      </c>
      <c r="AE74">
        <v>3571.3964999999989</v>
      </c>
      <c r="AF74">
        <v>0.26240112695788487</v>
      </c>
      <c r="AG74" t="s">
        <v>2821</v>
      </c>
      <c r="AH74">
        <v>2024</v>
      </c>
      <c r="AI74" t="s">
        <v>2836</v>
      </c>
    </row>
    <row r="75" spans="1:35">
      <c r="A75" t="s">
        <v>327</v>
      </c>
      <c r="B75">
        <v>45745</v>
      </c>
      <c r="C75">
        <v>45750</v>
      </c>
      <c r="D75" t="s">
        <v>328</v>
      </c>
      <c r="E75" t="s">
        <v>132</v>
      </c>
      <c r="F75" t="s">
        <v>90</v>
      </c>
      <c r="G75" t="s">
        <v>38</v>
      </c>
      <c r="H75" t="s">
        <v>99</v>
      </c>
      <c r="I75" t="s">
        <v>100</v>
      </c>
      <c r="J75" t="s">
        <v>41</v>
      </c>
      <c r="K75" t="s">
        <v>158</v>
      </c>
      <c r="L75" t="s">
        <v>329</v>
      </c>
      <c r="M75" t="s">
        <v>50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32</v>
      </c>
      <c r="U75" t="s">
        <v>33</v>
      </c>
      <c r="V75" t="s">
        <v>2834</v>
      </c>
      <c r="W75" t="s">
        <v>2834</v>
      </c>
      <c r="X75" t="s">
        <v>2834</v>
      </c>
      <c r="Y75" t="s">
        <v>2834</v>
      </c>
      <c r="Z75">
        <v>5</v>
      </c>
      <c r="AA75" t="s">
        <v>2789</v>
      </c>
      <c r="AB75">
        <v>0</v>
      </c>
      <c r="AC75" t="s">
        <v>2794</v>
      </c>
      <c r="AD75">
        <v>7128.7</v>
      </c>
      <c r="AE75">
        <v>2746.55</v>
      </c>
      <c r="AF75">
        <v>0.38528062620113068</v>
      </c>
      <c r="AG75" t="s">
        <v>2822</v>
      </c>
      <c r="AH75">
        <v>2025</v>
      </c>
      <c r="AI75" t="s">
        <v>2835</v>
      </c>
    </row>
    <row r="76" spans="1:35">
      <c r="A76" t="s">
        <v>330</v>
      </c>
      <c r="B76">
        <v>45715</v>
      </c>
      <c r="C76">
        <v>45717</v>
      </c>
      <c r="D76" t="s">
        <v>331</v>
      </c>
      <c r="E76" t="s">
        <v>71</v>
      </c>
      <c r="F76" t="s">
        <v>37</v>
      </c>
      <c r="G76" t="s">
        <v>38</v>
      </c>
      <c r="H76" t="s">
        <v>99</v>
      </c>
      <c r="I76" t="s">
        <v>100</v>
      </c>
      <c r="J76" t="s">
        <v>41</v>
      </c>
      <c r="K76" t="s">
        <v>66</v>
      </c>
      <c r="L76" t="s">
        <v>332</v>
      </c>
      <c r="M76" t="s">
        <v>59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32</v>
      </c>
      <c r="U76" t="s">
        <v>33</v>
      </c>
      <c r="V76" t="s">
        <v>2834</v>
      </c>
      <c r="W76" t="s">
        <v>2834</v>
      </c>
      <c r="X76" t="s">
        <v>2834</v>
      </c>
      <c r="Y76" t="s">
        <v>2834</v>
      </c>
      <c r="Z76">
        <v>2</v>
      </c>
      <c r="AA76" t="s">
        <v>2789</v>
      </c>
      <c r="AB76">
        <v>0</v>
      </c>
      <c r="AC76" t="s">
        <v>2794</v>
      </c>
      <c r="AD76">
        <v>3309.84</v>
      </c>
      <c r="AE76">
        <v>638.76000000000022</v>
      </c>
      <c r="AF76">
        <v>0.19298818069755644</v>
      </c>
      <c r="AG76" t="s">
        <v>2821</v>
      </c>
      <c r="AH76">
        <v>2025</v>
      </c>
      <c r="AI76" t="s">
        <v>2835</v>
      </c>
    </row>
    <row r="77" spans="1:35">
      <c r="A77" t="s">
        <v>333</v>
      </c>
      <c r="B77">
        <v>45891</v>
      </c>
      <c r="C77">
        <v>45896</v>
      </c>
      <c r="D77" t="s">
        <v>334</v>
      </c>
      <c r="E77" t="s">
        <v>114</v>
      </c>
      <c r="F77" t="s">
        <v>37</v>
      </c>
      <c r="G77" t="s">
        <v>38</v>
      </c>
      <c r="H77" t="s">
        <v>39</v>
      </c>
      <c r="I77" t="s">
        <v>40</v>
      </c>
      <c r="J77" t="s">
        <v>28</v>
      </c>
      <c r="K77" t="s">
        <v>91</v>
      </c>
      <c r="L77" t="s">
        <v>335</v>
      </c>
      <c r="M77" t="s">
        <v>50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32</v>
      </c>
      <c r="U77" t="s">
        <v>33</v>
      </c>
      <c r="V77" t="s">
        <v>2834</v>
      </c>
      <c r="W77" t="s">
        <v>2834</v>
      </c>
      <c r="X77" t="s">
        <v>2834</v>
      </c>
      <c r="Y77" t="s">
        <v>2834</v>
      </c>
      <c r="Z77">
        <v>5</v>
      </c>
      <c r="AA77" t="s">
        <v>2789</v>
      </c>
      <c r="AB77">
        <v>0.2</v>
      </c>
      <c r="AC77" t="s">
        <v>2794</v>
      </c>
      <c r="AD77">
        <v>7907.5680000000011</v>
      </c>
      <c r="AE77">
        <v>2516.3880000000008</v>
      </c>
      <c r="AF77">
        <v>0.31822527482533197</v>
      </c>
      <c r="AG77" t="s">
        <v>2827</v>
      </c>
      <c r="AH77">
        <v>2025</v>
      </c>
      <c r="AI77" t="s">
        <v>2835</v>
      </c>
    </row>
    <row r="78" spans="1:35">
      <c r="A78" t="s">
        <v>336</v>
      </c>
      <c r="B78">
        <v>45599</v>
      </c>
      <c r="C78">
        <v>45607</v>
      </c>
      <c r="D78" t="s">
        <v>337</v>
      </c>
      <c r="E78" t="s">
        <v>62</v>
      </c>
      <c r="F78" t="s">
        <v>90</v>
      </c>
      <c r="G78" t="s">
        <v>38</v>
      </c>
      <c r="H78" t="s">
        <v>228</v>
      </c>
      <c r="I78" t="s">
        <v>229</v>
      </c>
      <c r="J78" t="s">
        <v>28</v>
      </c>
      <c r="K78" t="s">
        <v>91</v>
      </c>
      <c r="L78" t="s">
        <v>338</v>
      </c>
      <c r="M78" t="s">
        <v>31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32</v>
      </c>
      <c r="U78" t="s">
        <v>33</v>
      </c>
      <c r="V78" t="s">
        <v>2834</v>
      </c>
      <c r="W78" t="s">
        <v>2834</v>
      </c>
      <c r="X78" t="s">
        <v>2834</v>
      </c>
      <c r="Y78" t="s">
        <v>2834</v>
      </c>
      <c r="Z78">
        <v>8</v>
      </c>
      <c r="AA78" t="s">
        <v>2789</v>
      </c>
      <c r="AB78">
        <v>0</v>
      </c>
      <c r="AC78" t="s">
        <v>2794</v>
      </c>
      <c r="AD78">
        <v>10218.81</v>
      </c>
      <c r="AE78">
        <v>2601.8399999999992</v>
      </c>
      <c r="AF78">
        <v>0.2546128169522674</v>
      </c>
      <c r="AG78" t="s">
        <v>2830</v>
      </c>
      <c r="AH78">
        <v>2024</v>
      </c>
      <c r="AI78" t="s">
        <v>2835</v>
      </c>
    </row>
    <row r="79" spans="1:35">
      <c r="A79" t="s">
        <v>339</v>
      </c>
      <c r="B79">
        <v>45846</v>
      </c>
      <c r="C79">
        <v>45850</v>
      </c>
      <c r="D79" t="s">
        <v>340</v>
      </c>
      <c r="E79" t="s">
        <v>141</v>
      </c>
      <c r="F79" t="s">
        <v>95</v>
      </c>
      <c r="G79" t="s">
        <v>25</v>
      </c>
      <c r="H79" t="s">
        <v>136</v>
      </c>
      <c r="I79" t="s">
        <v>137</v>
      </c>
      <c r="J79" t="s">
        <v>41</v>
      </c>
      <c r="K79" t="s">
        <v>57</v>
      </c>
      <c r="L79" t="s">
        <v>341</v>
      </c>
      <c r="M79" t="s">
        <v>59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102</v>
      </c>
      <c r="U79" t="s">
        <v>68</v>
      </c>
      <c r="V79" t="s">
        <v>2834</v>
      </c>
      <c r="W79" t="s">
        <v>2834</v>
      </c>
      <c r="X79" t="s">
        <v>2834</v>
      </c>
      <c r="Y79" t="s">
        <v>2834</v>
      </c>
      <c r="Z79">
        <v>4</v>
      </c>
      <c r="AA79" t="s">
        <v>2789</v>
      </c>
      <c r="AB79">
        <v>0.15</v>
      </c>
      <c r="AC79" t="s">
        <v>2794</v>
      </c>
      <c r="AD79">
        <v>2194.87</v>
      </c>
      <c r="AE79">
        <v>971.69999999999982</v>
      </c>
      <c r="AF79">
        <v>0.44271414707932583</v>
      </c>
      <c r="AG79" t="s">
        <v>2826</v>
      </c>
      <c r="AH79">
        <v>2025</v>
      </c>
      <c r="AI79" t="s">
        <v>2835</v>
      </c>
    </row>
    <row r="80" spans="1:35">
      <c r="A80" t="s">
        <v>342</v>
      </c>
      <c r="B80">
        <v>45854</v>
      </c>
      <c r="C80">
        <v>45859</v>
      </c>
      <c r="D80" t="s">
        <v>343</v>
      </c>
      <c r="E80" t="s">
        <v>132</v>
      </c>
      <c r="F80" t="s">
        <v>90</v>
      </c>
      <c r="G80" t="s">
        <v>38</v>
      </c>
      <c r="H80" t="s">
        <v>99</v>
      </c>
      <c r="I80" t="s">
        <v>100</v>
      </c>
      <c r="J80" t="s">
        <v>41</v>
      </c>
      <c r="K80" t="s">
        <v>42</v>
      </c>
      <c r="L80" t="s">
        <v>344</v>
      </c>
      <c r="M80" t="s">
        <v>50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32</v>
      </c>
      <c r="U80" t="s">
        <v>33</v>
      </c>
      <c r="V80" t="s">
        <v>2834</v>
      </c>
      <c r="W80" t="s">
        <v>2834</v>
      </c>
      <c r="X80" t="s">
        <v>2834</v>
      </c>
      <c r="Y80" t="s">
        <v>2834</v>
      </c>
      <c r="Z80">
        <v>5</v>
      </c>
      <c r="AA80" t="s">
        <v>2789</v>
      </c>
      <c r="AB80">
        <v>0.15</v>
      </c>
      <c r="AC80" t="s">
        <v>2794</v>
      </c>
      <c r="AD80">
        <v>9050.4175000000014</v>
      </c>
      <c r="AE80">
        <v>2271.567500000001</v>
      </c>
      <c r="AF80">
        <v>0.25099035486484472</v>
      </c>
      <c r="AG80" t="s">
        <v>2826</v>
      </c>
      <c r="AH80">
        <v>2025</v>
      </c>
      <c r="AI80" t="s">
        <v>2835</v>
      </c>
    </row>
    <row r="81" spans="1:35">
      <c r="A81" t="s">
        <v>345</v>
      </c>
      <c r="B81">
        <v>45927</v>
      </c>
      <c r="C81">
        <v>45933</v>
      </c>
      <c r="D81" t="s">
        <v>346</v>
      </c>
      <c r="E81" t="s">
        <v>162</v>
      </c>
      <c r="F81" t="s">
        <v>95</v>
      </c>
      <c r="G81" t="s">
        <v>54</v>
      </c>
      <c r="H81" t="s">
        <v>247</v>
      </c>
      <c r="I81" t="s">
        <v>248</v>
      </c>
      <c r="J81" t="s">
        <v>41</v>
      </c>
      <c r="K81" t="s">
        <v>66</v>
      </c>
      <c r="L81" t="s">
        <v>347</v>
      </c>
      <c r="M81" t="s">
        <v>44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32</v>
      </c>
      <c r="U81" t="s">
        <v>33</v>
      </c>
      <c r="V81" t="s">
        <v>2834</v>
      </c>
      <c r="W81" t="s">
        <v>2834</v>
      </c>
      <c r="X81" t="s">
        <v>2834</v>
      </c>
      <c r="Y81" t="s">
        <v>2834</v>
      </c>
      <c r="Z81">
        <v>6</v>
      </c>
      <c r="AA81" t="s">
        <v>2789</v>
      </c>
      <c r="AB81">
        <v>0.1</v>
      </c>
      <c r="AC81" t="s">
        <v>2794</v>
      </c>
      <c r="AD81">
        <v>33465.312000000005</v>
      </c>
      <c r="AE81">
        <v>8684.052000000007</v>
      </c>
      <c r="AF81">
        <v>0.25949412932411942</v>
      </c>
      <c r="AG81" t="s">
        <v>2828</v>
      </c>
      <c r="AH81">
        <v>2025</v>
      </c>
      <c r="AI81" t="s">
        <v>2835</v>
      </c>
    </row>
    <row r="82" spans="1:35">
      <c r="A82" t="s">
        <v>348</v>
      </c>
      <c r="B82">
        <v>45514</v>
      </c>
      <c r="C82">
        <v>45518</v>
      </c>
      <c r="D82" t="s">
        <v>349</v>
      </c>
      <c r="E82" t="s">
        <v>128</v>
      </c>
      <c r="F82" t="s">
        <v>37</v>
      </c>
      <c r="G82" t="s">
        <v>25</v>
      </c>
      <c r="H82" t="s">
        <v>350</v>
      </c>
      <c r="I82" t="s">
        <v>351</v>
      </c>
      <c r="J82" t="s">
        <v>28</v>
      </c>
      <c r="K82" t="s">
        <v>124</v>
      </c>
      <c r="L82" t="s">
        <v>352</v>
      </c>
      <c r="M82" t="s">
        <v>31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111</v>
      </c>
      <c r="U82" t="s">
        <v>103</v>
      </c>
      <c r="V82" t="s">
        <v>2834</v>
      </c>
      <c r="W82" t="s">
        <v>2834</v>
      </c>
      <c r="X82" t="s">
        <v>2834</v>
      </c>
      <c r="Y82" t="s">
        <v>2834</v>
      </c>
      <c r="Z82">
        <v>4</v>
      </c>
      <c r="AA82" t="s">
        <v>2789</v>
      </c>
      <c r="AB82">
        <v>0.1</v>
      </c>
      <c r="AC82" t="s">
        <v>2794</v>
      </c>
      <c r="AD82">
        <v>4256.3519999999999</v>
      </c>
      <c r="AE82">
        <v>1761.0219999999999</v>
      </c>
      <c r="AF82">
        <v>0.41373974708858663</v>
      </c>
      <c r="AG82" t="s">
        <v>2827</v>
      </c>
      <c r="AH82">
        <v>2024</v>
      </c>
      <c r="AI82" t="s">
        <v>2835</v>
      </c>
    </row>
    <row r="83" spans="1:35">
      <c r="A83" t="s">
        <v>353</v>
      </c>
      <c r="B83">
        <v>45732</v>
      </c>
      <c r="C83">
        <v>45733</v>
      </c>
      <c r="D83" t="s">
        <v>354</v>
      </c>
      <c r="E83" t="s">
        <v>23</v>
      </c>
      <c r="F83" t="s">
        <v>95</v>
      </c>
      <c r="G83" t="s">
        <v>63</v>
      </c>
      <c r="H83" t="s">
        <v>190</v>
      </c>
      <c r="I83" t="s">
        <v>191</v>
      </c>
      <c r="J83" t="s">
        <v>28</v>
      </c>
      <c r="K83" t="s">
        <v>91</v>
      </c>
      <c r="L83" t="s">
        <v>355</v>
      </c>
      <c r="M83" t="s">
        <v>44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32</v>
      </c>
      <c r="U83" t="s">
        <v>33</v>
      </c>
      <c r="V83" t="s">
        <v>2834</v>
      </c>
      <c r="W83" t="s">
        <v>2834</v>
      </c>
      <c r="X83" t="s">
        <v>2834</v>
      </c>
      <c r="Y83" t="s">
        <v>2834</v>
      </c>
      <c r="Z83">
        <v>1</v>
      </c>
      <c r="AA83" t="s">
        <v>2789</v>
      </c>
      <c r="AB83">
        <v>0</v>
      </c>
      <c r="AC83" t="s">
        <v>2794</v>
      </c>
      <c r="AD83">
        <v>5525.7300000000005</v>
      </c>
      <c r="AE83">
        <v>2432.3100000000004</v>
      </c>
      <c r="AF83">
        <v>0.44017894468242208</v>
      </c>
      <c r="AG83" t="s">
        <v>2822</v>
      </c>
      <c r="AH83">
        <v>2025</v>
      </c>
      <c r="AI83" t="s">
        <v>2835</v>
      </c>
    </row>
    <row r="84" spans="1:35">
      <c r="A84" t="s">
        <v>356</v>
      </c>
      <c r="B84">
        <v>45507</v>
      </c>
      <c r="C84">
        <v>45508</v>
      </c>
      <c r="D84" t="s">
        <v>357</v>
      </c>
      <c r="E84" t="s">
        <v>53</v>
      </c>
      <c r="F84" t="s">
        <v>24</v>
      </c>
      <c r="G84" t="s">
        <v>25</v>
      </c>
      <c r="H84" t="s">
        <v>136</v>
      </c>
      <c r="I84" t="s">
        <v>137</v>
      </c>
      <c r="J84" t="s">
        <v>74</v>
      </c>
      <c r="K84" t="s">
        <v>80</v>
      </c>
      <c r="L84" t="s">
        <v>358</v>
      </c>
      <c r="M84" t="s">
        <v>31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155</v>
      </c>
      <c r="U84" t="s">
        <v>103</v>
      </c>
      <c r="V84" t="s">
        <v>2834</v>
      </c>
      <c r="W84" t="s">
        <v>2834</v>
      </c>
      <c r="X84" t="s">
        <v>2834</v>
      </c>
      <c r="Y84" t="s">
        <v>2834</v>
      </c>
      <c r="Z84">
        <v>1</v>
      </c>
      <c r="AA84" t="s">
        <v>2789</v>
      </c>
      <c r="AB84">
        <v>0</v>
      </c>
      <c r="AC84" t="s">
        <v>2794</v>
      </c>
      <c r="AD84">
        <v>6010.38</v>
      </c>
      <c r="AE84">
        <v>2247.5300000000002</v>
      </c>
      <c r="AF84">
        <v>0.37394141468592673</v>
      </c>
      <c r="AG84" t="s">
        <v>2827</v>
      </c>
      <c r="AH84">
        <v>2024</v>
      </c>
      <c r="AI84" t="s">
        <v>2835</v>
      </c>
    </row>
    <row r="85" spans="1:35">
      <c r="A85" t="s">
        <v>359</v>
      </c>
      <c r="B85">
        <v>45591</v>
      </c>
      <c r="C85">
        <v>45594</v>
      </c>
      <c r="D85" t="s">
        <v>360</v>
      </c>
      <c r="E85" t="s">
        <v>89</v>
      </c>
      <c r="F85" t="s">
        <v>95</v>
      </c>
      <c r="G85" t="s">
        <v>63</v>
      </c>
      <c r="H85" t="s">
        <v>64</v>
      </c>
      <c r="I85" t="s">
        <v>65</v>
      </c>
      <c r="J85" t="s">
        <v>41</v>
      </c>
      <c r="K85" t="s">
        <v>42</v>
      </c>
      <c r="L85" t="s">
        <v>361</v>
      </c>
      <c r="M85" t="s">
        <v>31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32</v>
      </c>
      <c r="U85" t="s">
        <v>33</v>
      </c>
      <c r="V85" t="s">
        <v>2834</v>
      </c>
      <c r="W85" t="s">
        <v>2834</v>
      </c>
      <c r="X85" t="s">
        <v>2834</v>
      </c>
      <c r="Y85" t="s">
        <v>2834</v>
      </c>
      <c r="Z85">
        <v>3</v>
      </c>
      <c r="AA85" t="s">
        <v>2789</v>
      </c>
      <c r="AB85">
        <v>0.2</v>
      </c>
      <c r="AC85" t="s">
        <v>2794</v>
      </c>
      <c r="AD85">
        <v>948.52800000000013</v>
      </c>
      <c r="AE85">
        <v>273.90800000000013</v>
      </c>
      <c r="AF85">
        <v>0.28877165460587362</v>
      </c>
      <c r="AG85" t="s">
        <v>2829</v>
      </c>
      <c r="AH85">
        <v>2024</v>
      </c>
      <c r="AI85" t="s">
        <v>2835</v>
      </c>
    </row>
    <row r="86" spans="1:35">
      <c r="A86" t="s">
        <v>362</v>
      </c>
      <c r="B86">
        <v>45566</v>
      </c>
      <c r="C86">
        <v>45568</v>
      </c>
      <c r="D86" t="s">
        <v>363</v>
      </c>
      <c r="E86" t="s">
        <v>141</v>
      </c>
      <c r="F86" t="s">
        <v>90</v>
      </c>
      <c r="G86" t="s">
        <v>54</v>
      </c>
      <c r="H86" t="s">
        <v>247</v>
      </c>
      <c r="I86" t="s">
        <v>248</v>
      </c>
      <c r="J86" t="s">
        <v>74</v>
      </c>
      <c r="K86" t="s">
        <v>171</v>
      </c>
      <c r="L86" t="s">
        <v>364</v>
      </c>
      <c r="M86" t="s">
        <v>31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32</v>
      </c>
      <c r="U86" t="s">
        <v>33</v>
      </c>
      <c r="V86" t="s">
        <v>2834</v>
      </c>
      <c r="W86" t="s">
        <v>2834</v>
      </c>
      <c r="X86" t="s">
        <v>2834</v>
      </c>
      <c r="Y86" t="s">
        <v>2834</v>
      </c>
      <c r="Z86">
        <v>2</v>
      </c>
      <c r="AA86" t="s">
        <v>2789</v>
      </c>
      <c r="AB86">
        <v>0.2</v>
      </c>
      <c r="AC86" t="s">
        <v>2794</v>
      </c>
      <c r="AD86">
        <v>2737.3440000000001</v>
      </c>
      <c r="AE86">
        <v>651.904</v>
      </c>
      <c r="AF86">
        <v>0.23815201889130486</v>
      </c>
      <c r="AG86" t="s">
        <v>2829</v>
      </c>
      <c r="AH86">
        <v>2024</v>
      </c>
      <c r="AI86" t="s">
        <v>2835</v>
      </c>
    </row>
    <row r="87" spans="1:35">
      <c r="A87" t="s">
        <v>365</v>
      </c>
      <c r="B87">
        <v>45503</v>
      </c>
      <c r="C87">
        <v>45509</v>
      </c>
      <c r="D87" t="s">
        <v>366</v>
      </c>
      <c r="E87" t="s">
        <v>264</v>
      </c>
      <c r="F87" t="s">
        <v>90</v>
      </c>
      <c r="G87" t="s">
        <v>25</v>
      </c>
      <c r="H87" t="s">
        <v>350</v>
      </c>
      <c r="I87" t="s">
        <v>351</v>
      </c>
      <c r="J87" t="s">
        <v>28</v>
      </c>
      <c r="K87" t="s">
        <v>153</v>
      </c>
      <c r="L87" t="s">
        <v>367</v>
      </c>
      <c r="M87" t="s">
        <v>59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32</v>
      </c>
      <c r="U87" t="s">
        <v>68</v>
      </c>
      <c r="V87" t="s">
        <v>2834</v>
      </c>
      <c r="W87" t="s">
        <v>2834</v>
      </c>
      <c r="X87" t="s">
        <v>2834</v>
      </c>
      <c r="Y87" t="s">
        <v>2834</v>
      </c>
      <c r="Z87">
        <v>6</v>
      </c>
      <c r="AA87" t="s">
        <v>2789</v>
      </c>
      <c r="AB87">
        <v>0</v>
      </c>
      <c r="AC87" t="s">
        <v>2794</v>
      </c>
      <c r="AD87">
        <v>608.64</v>
      </c>
      <c r="AE87">
        <v>264.64999999999998</v>
      </c>
      <c r="AF87">
        <v>0.43482189800210302</v>
      </c>
      <c r="AG87" t="s">
        <v>2826</v>
      </c>
      <c r="AH87">
        <v>2024</v>
      </c>
      <c r="AI87" t="s">
        <v>2835</v>
      </c>
    </row>
    <row r="88" spans="1:35">
      <c r="A88" t="s">
        <v>368</v>
      </c>
      <c r="B88">
        <v>45474</v>
      </c>
      <c r="C88">
        <v>45474</v>
      </c>
      <c r="D88" t="s">
        <v>369</v>
      </c>
      <c r="E88" t="s">
        <v>62</v>
      </c>
      <c r="F88" t="s">
        <v>37</v>
      </c>
      <c r="G88" t="s">
        <v>25</v>
      </c>
      <c r="H88" t="s">
        <v>350</v>
      </c>
      <c r="I88" t="s">
        <v>351</v>
      </c>
      <c r="J88" t="s">
        <v>74</v>
      </c>
      <c r="K88" t="s">
        <v>80</v>
      </c>
      <c r="L88" t="s">
        <v>370</v>
      </c>
      <c r="M88" t="s">
        <v>31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102</v>
      </c>
      <c r="U88" t="s">
        <v>68</v>
      </c>
      <c r="V88" t="s">
        <v>2834</v>
      </c>
      <c r="W88" t="s">
        <v>2834</v>
      </c>
      <c r="X88" t="s">
        <v>2834</v>
      </c>
      <c r="Y88" t="s">
        <v>2834</v>
      </c>
      <c r="Z88">
        <v>0</v>
      </c>
      <c r="AA88" t="s">
        <v>2789</v>
      </c>
      <c r="AB88">
        <v>0.1</v>
      </c>
      <c r="AC88" t="s">
        <v>2794</v>
      </c>
      <c r="AD88">
        <v>2390.2560000000003</v>
      </c>
      <c r="AE88">
        <v>894.31600000000026</v>
      </c>
      <c r="AF88">
        <v>0.37415071858411825</v>
      </c>
      <c r="AG88" t="s">
        <v>2826</v>
      </c>
      <c r="AH88">
        <v>2024</v>
      </c>
      <c r="AI88" t="s">
        <v>2835</v>
      </c>
    </row>
    <row r="89" spans="1:35">
      <c r="A89" t="s">
        <v>371</v>
      </c>
      <c r="B89">
        <v>45506</v>
      </c>
      <c r="C89">
        <v>45507</v>
      </c>
      <c r="D89" t="s">
        <v>372</v>
      </c>
      <c r="E89" t="s">
        <v>71</v>
      </c>
      <c r="F89" t="s">
        <v>24</v>
      </c>
      <c r="G89" t="s">
        <v>38</v>
      </c>
      <c r="H89" t="s">
        <v>166</v>
      </c>
      <c r="I89" t="s">
        <v>167</v>
      </c>
      <c r="J89" t="s">
        <v>28</v>
      </c>
      <c r="K89" t="s">
        <v>153</v>
      </c>
      <c r="L89" t="s">
        <v>373</v>
      </c>
      <c r="M89" t="s">
        <v>59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32</v>
      </c>
      <c r="U89" t="s">
        <v>33</v>
      </c>
      <c r="V89" t="s">
        <v>2834</v>
      </c>
      <c r="W89" t="s">
        <v>2834</v>
      </c>
      <c r="X89" t="s">
        <v>2834</v>
      </c>
      <c r="Y89" t="s">
        <v>2834</v>
      </c>
      <c r="Z89">
        <v>1</v>
      </c>
      <c r="AA89" t="s">
        <v>2789</v>
      </c>
      <c r="AB89">
        <v>0</v>
      </c>
      <c r="AC89" t="s">
        <v>2794</v>
      </c>
      <c r="AD89">
        <v>23416.539999999997</v>
      </c>
      <c r="AE89">
        <v>7925.6499999999978</v>
      </c>
      <c r="AF89">
        <v>0.33846375254414185</v>
      </c>
      <c r="AG89" t="s">
        <v>2827</v>
      </c>
      <c r="AH89">
        <v>2024</v>
      </c>
      <c r="AI89" t="s">
        <v>2835</v>
      </c>
    </row>
    <row r="90" spans="1:35">
      <c r="A90" t="s">
        <v>374</v>
      </c>
      <c r="B90">
        <v>45375</v>
      </c>
      <c r="C90">
        <v>45378</v>
      </c>
      <c r="D90" t="s">
        <v>375</v>
      </c>
      <c r="E90" t="s">
        <v>141</v>
      </c>
      <c r="F90" t="s">
        <v>37</v>
      </c>
      <c r="G90" t="s">
        <v>63</v>
      </c>
      <c r="H90" t="s">
        <v>64</v>
      </c>
      <c r="I90" t="s">
        <v>65</v>
      </c>
      <c r="J90" t="s">
        <v>41</v>
      </c>
      <c r="K90" t="s">
        <v>158</v>
      </c>
      <c r="L90" t="s">
        <v>376</v>
      </c>
      <c r="M90" t="s">
        <v>59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32</v>
      </c>
      <c r="U90" t="s">
        <v>33</v>
      </c>
      <c r="V90" t="s">
        <v>2834</v>
      </c>
      <c r="W90" t="s">
        <v>2834</v>
      </c>
      <c r="X90" t="s">
        <v>2834</v>
      </c>
      <c r="Y90" t="s">
        <v>2834</v>
      </c>
      <c r="Z90">
        <v>3</v>
      </c>
      <c r="AA90" t="s">
        <v>2789</v>
      </c>
      <c r="AB90">
        <v>0.05</v>
      </c>
      <c r="AC90" t="s">
        <v>2794</v>
      </c>
      <c r="AD90">
        <v>6241.0249999999996</v>
      </c>
      <c r="AE90">
        <v>895.14499999999953</v>
      </c>
      <c r="AF90">
        <v>0.14342916427990587</v>
      </c>
      <c r="AG90" t="s">
        <v>2822</v>
      </c>
      <c r="AH90">
        <v>2024</v>
      </c>
      <c r="AI90" t="s">
        <v>2835</v>
      </c>
    </row>
    <row r="91" spans="1:35">
      <c r="A91" t="s">
        <v>377</v>
      </c>
      <c r="B91">
        <v>45540</v>
      </c>
      <c r="C91">
        <v>45540</v>
      </c>
      <c r="D91" t="s">
        <v>378</v>
      </c>
      <c r="E91" t="s">
        <v>264</v>
      </c>
      <c r="F91" t="s">
        <v>24</v>
      </c>
      <c r="G91" t="s">
        <v>54</v>
      </c>
      <c r="H91" t="s">
        <v>84</v>
      </c>
      <c r="I91" t="s">
        <v>85</v>
      </c>
      <c r="J91" t="s">
        <v>41</v>
      </c>
      <c r="K91" t="s">
        <v>158</v>
      </c>
      <c r="L91" t="s">
        <v>379</v>
      </c>
      <c r="M91" t="s">
        <v>59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111</v>
      </c>
      <c r="U91" t="s">
        <v>68</v>
      </c>
      <c r="V91" t="s">
        <v>2834</v>
      </c>
      <c r="W91" t="s">
        <v>2834</v>
      </c>
      <c r="X91" t="s">
        <v>2834</v>
      </c>
      <c r="Y91" t="s">
        <v>2834</v>
      </c>
      <c r="Z91">
        <v>0</v>
      </c>
      <c r="AA91" t="s">
        <v>2789</v>
      </c>
      <c r="AB91">
        <v>0.2</v>
      </c>
      <c r="AC91" t="s">
        <v>2794</v>
      </c>
      <c r="AD91">
        <v>21062.104000000003</v>
      </c>
      <c r="AE91">
        <v>9004.9740000000038</v>
      </c>
      <c r="AF91">
        <v>0.42754389589947911</v>
      </c>
      <c r="AG91" t="s">
        <v>2828</v>
      </c>
      <c r="AH91">
        <v>2024</v>
      </c>
      <c r="AI91" t="s">
        <v>2835</v>
      </c>
    </row>
    <row r="92" spans="1:35">
      <c r="A92" t="s">
        <v>380</v>
      </c>
      <c r="B92">
        <v>45893</v>
      </c>
      <c r="C92">
        <v>45898</v>
      </c>
      <c r="D92" t="s">
        <v>381</v>
      </c>
      <c r="E92" t="s">
        <v>128</v>
      </c>
      <c r="F92" t="s">
        <v>37</v>
      </c>
      <c r="G92" t="s">
        <v>38</v>
      </c>
      <c r="H92" t="s">
        <v>145</v>
      </c>
      <c r="I92" t="s">
        <v>146</v>
      </c>
      <c r="J92" t="s">
        <v>74</v>
      </c>
      <c r="K92" t="s">
        <v>80</v>
      </c>
      <c r="L92" t="s">
        <v>382</v>
      </c>
      <c r="M92" t="s">
        <v>50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32</v>
      </c>
      <c r="U92" t="s">
        <v>33</v>
      </c>
      <c r="V92" t="s">
        <v>2834</v>
      </c>
      <c r="W92" t="s">
        <v>2834</v>
      </c>
      <c r="X92" t="s">
        <v>2834</v>
      </c>
      <c r="Y92" t="s">
        <v>2834</v>
      </c>
      <c r="Z92">
        <v>5</v>
      </c>
      <c r="AA92" t="s">
        <v>2790</v>
      </c>
      <c r="AB92">
        <v>0.15</v>
      </c>
      <c r="AC92" t="s">
        <v>2794</v>
      </c>
      <c r="AD92">
        <v>9445.098</v>
      </c>
      <c r="AE92">
        <v>3858.8180000000002</v>
      </c>
      <c r="AF92">
        <v>0.40855245758170006</v>
      </c>
      <c r="AG92" t="s">
        <v>2827</v>
      </c>
      <c r="AH92">
        <v>2025</v>
      </c>
      <c r="AI92" t="s">
        <v>2836</v>
      </c>
    </row>
    <row r="93" spans="1:35">
      <c r="A93" t="s">
        <v>383</v>
      </c>
      <c r="B93">
        <v>45718</v>
      </c>
      <c r="C93">
        <v>45724</v>
      </c>
      <c r="D93" t="s">
        <v>384</v>
      </c>
      <c r="E93" t="s">
        <v>132</v>
      </c>
      <c r="F93" t="s">
        <v>90</v>
      </c>
      <c r="G93" t="s">
        <v>63</v>
      </c>
      <c r="H93" t="s">
        <v>72</v>
      </c>
      <c r="I93" t="s">
        <v>73</v>
      </c>
      <c r="J93" t="s">
        <v>74</v>
      </c>
      <c r="K93" t="s">
        <v>80</v>
      </c>
      <c r="L93" t="s">
        <v>385</v>
      </c>
      <c r="M93" t="s">
        <v>31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32</v>
      </c>
      <c r="U93" t="s">
        <v>33</v>
      </c>
      <c r="V93" t="s">
        <v>2834</v>
      </c>
      <c r="W93" t="s">
        <v>2834</v>
      </c>
      <c r="X93" t="s">
        <v>2834</v>
      </c>
      <c r="Y93" t="s">
        <v>2834</v>
      </c>
      <c r="Z93">
        <v>6</v>
      </c>
      <c r="AA93" t="s">
        <v>2789</v>
      </c>
      <c r="AB93">
        <v>0</v>
      </c>
      <c r="AC93" t="s">
        <v>2794</v>
      </c>
      <c r="AD93">
        <v>2427.12</v>
      </c>
      <c r="AE93">
        <v>888.77</v>
      </c>
      <c r="AF93">
        <v>0.36618296581957216</v>
      </c>
      <c r="AG93" t="s">
        <v>2822</v>
      </c>
      <c r="AH93">
        <v>2025</v>
      </c>
      <c r="AI93" t="s">
        <v>2835</v>
      </c>
    </row>
    <row r="94" spans="1:35">
      <c r="A94" t="s">
        <v>386</v>
      </c>
      <c r="B94">
        <v>45680</v>
      </c>
      <c r="C94">
        <v>45683</v>
      </c>
      <c r="D94" t="s">
        <v>387</v>
      </c>
      <c r="E94" t="s">
        <v>128</v>
      </c>
      <c r="F94" t="s">
        <v>24</v>
      </c>
      <c r="G94" t="s">
        <v>63</v>
      </c>
      <c r="H94" t="s">
        <v>72</v>
      </c>
      <c r="I94" t="s">
        <v>73</v>
      </c>
      <c r="J94" t="s">
        <v>28</v>
      </c>
      <c r="K94" t="s">
        <v>29</v>
      </c>
      <c r="L94" t="s">
        <v>388</v>
      </c>
      <c r="M94" t="s">
        <v>59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32</v>
      </c>
      <c r="U94" t="s">
        <v>33</v>
      </c>
      <c r="V94" t="s">
        <v>2834</v>
      </c>
      <c r="W94" t="s">
        <v>2834</v>
      </c>
      <c r="X94" t="s">
        <v>2834</v>
      </c>
      <c r="Y94" t="s">
        <v>2834</v>
      </c>
      <c r="Z94">
        <v>3</v>
      </c>
      <c r="AA94" t="s">
        <v>2789</v>
      </c>
      <c r="AB94">
        <v>0.1</v>
      </c>
      <c r="AC94" t="s">
        <v>2794</v>
      </c>
      <c r="AD94">
        <v>36111.906000000003</v>
      </c>
      <c r="AE94">
        <v>6917.4060000000027</v>
      </c>
      <c r="AF94">
        <v>0.19155471882320479</v>
      </c>
      <c r="AG94" t="s">
        <v>2820</v>
      </c>
      <c r="AH94">
        <v>2025</v>
      </c>
      <c r="AI94" t="s">
        <v>2835</v>
      </c>
    </row>
    <row r="95" spans="1:35">
      <c r="A95" t="s">
        <v>389</v>
      </c>
      <c r="B95">
        <v>45298</v>
      </c>
      <c r="C95">
        <v>45304</v>
      </c>
      <c r="D95" t="s">
        <v>390</v>
      </c>
      <c r="E95" t="s">
        <v>141</v>
      </c>
      <c r="F95" t="s">
        <v>90</v>
      </c>
      <c r="G95" t="s">
        <v>25</v>
      </c>
      <c r="H95" t="s">
        <v>136</v>
      </c>
      <c r="I95" t="s">
        <v>137</v>
      </c>
      <c r="J95" t="s">
        <v>28</v>
      </c>
      <c r="K95" t="s">
        <v>153</v>
      </c>
      <c r="L95" t="s">
        <v>391</v>
      </c>
      <c r="M95" t="s">
        <v>59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32</v>
      </c>
      <c r="U95" t="s">
        <v>33</v>
      </c>
      <c r="V95" t="s">
        <v>2834</v>
      </c>
      <c r="W95" t="s">
        <v>2834</v>
      </c>
      <c r="X95" t="s">
        <v>2834</v>
      </c>
      <c r="Y95" t="s">
        <v>2834</v>
      </c>
      <c r="Z95">
        <v>6</v>
      </c>
      <c r="AA95" t="s">
        <v>2789</v>
      </c>
      <c r="AB95">
        <v>-0.09</v>
      </c>
      <c r="AC95" t="s">
        <v>2795</v>
      </c>
      <c r="AD95">
        <v>21279.841099999998</v>
      </c>
      <c r="AE95">
        <v>8824.0610999999972</v>
      </c>
      <c r="AF95">
        <v>0.41466762174272054</v>
      </c>
      <c r="AG95" t="s">
        <v>2820</v>
      </c>
      <c r="AH95">
        <v>2024</v>
      </c>
      <c r="AI95" t="s">
        <v>2836</v>
      </c>
    </row>
    <row r="96" spans="1:35">
      <c r="A96" t="s">
        <v>392</v>
      </c>
      <c r="B96">
        <v>45541</v>
      </c>
      <c r="C96">
        <v>45544</v>
      </c>
      <c r="D96" t="s">
        <v>393</v>
      </c>
      <c r="E96" t="s">
        <v>162</v>
      </c>
      <c r="F96" t="s">
        <v>24</v>
      </c>
      <c r="G96" t="s">
        <v>25</v>
      </c>
      <c r="H96" t="s">
        <v>236</v>
      </c>
      <c r="I96" t="s">
        <v>237</v>
      </c>
      <c r="J96" t="s">
        <v>74</v>
      </c>
      <c r="K96" t="s">
        <v>171</v>
      </c>
      <c r="L96" t="s">
        <v>394</v>
      </c>
      <c r="M96" t="s">
        <v>31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111</v>
      </c>
      <c r="U96" t="s">
        <v>68</v>
      </c>
      <c r="V96" t="s">
        <v>2834</v>
      </c>
      <c r="W96" t="s">
        <v>2834</v>
      </c>
      <c r="X96" t="s">
        <v>2834</v>
      </c>
      <c r="Y96" t="s">
        <v>2834</v>
      </c>
      <c r="Z96">
        <v>3</v>
      </c>
      <c r="AA96" t="s">
        <v>2789</v>
      </c>
      <c r="AB96">
        <v>0</v>
      </c>
      <c r="AC96" t="s">
        <v>2794</v>
      </c>
      <c r="AD96">
        <v>26470.710000000003</v>
      </c>
      <c r="AE96">
        <v>5103.1100000000042</v>
      </c>
      <c r="AF96">
        <v>0.19278326875251944</v>
      </c>
      <c r="AG96" t="s">
        <v>2828</v>
      </c>
      <c r="AH96">
        <v>2024</v>
      </c>
      <c r="AI96" t="s">
        <v>2835</v>
      </c>
    </row>
    <row r="97" spans="1:35">
      <c r="A97" t="s">
        <v>395</v>
      </c>
      <c r="B97">
        <v>45905</v>
      </c>
      <c r="C97">
        <v>45910</v>
      </c>
      <c r="D97" t="s">
        <v>396</v>
      </c>
      <c r="E97" t="s">
        <v>132</v>
      </c>
      <c r="F97" t="s">
        <v>90</v>
      </c>
      <c r="G97" t="s">
        <v>63</v>
      </c>
      <c r="H97" t="s">
        <v>190</v>
      </c>
      <c r="I97" t="s">
        <v>191</v>
      </c>
      <c r="J97" t="s">
        <v>41</v>
      </c>
      <c r="K97" t="s">
        <v>158</v>
      </c>
      <c r="L97" t="s">
        <v>397</v>
      </c>
      <c r="M97" t="s">
        <v>44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32</v>
      </c>
      <c r="U97" t="s">
        <v>33</v>
      </c>
      <c r="V97" t="s">
        <v>2834</v>
      </c>
      <c r="W97" t="s">
        <v>2834</v>
      </c>
      <c r="X97" t="s">
        <v>2834</v>
      </c>
      <c r="Y97" t="s">
        <v>2834</v>
      </c>
      <c r="Z97">
        <v>5</v>
      </c>
      <c r="AA97" t="s">
        <v>2789</v>
      </c>
      <c r="AB97">
        <v>0</v>
      </c>
      <c r="AC97" t="s">
        <v>2794</v>
      </c>
      <c r="AD97">
        <v>10524.78</v>
      </c>
      <c r="AE97">
        <v>1683.7300000000014</v>
      </c>
      <c r="AF97">
        <v>0.15997769074507984</v>
      </c>
      <c r="AG97" t="s">
        <v>2828</v>
      </c>
      <c r="AH97">
        <v>2025</v>
      </c>
      <c r="AI97" t="s">
        <v>2835</v>
      </c>
    </row>
    <row r="98" spans="1:35">
      <c r="A98" t="s">
        <v>398</v>
      </c>
      <c r="B98">
        <v>45448</v>
      </c>
      <c r="C98">
        <v>45450</v>
      </c>
      <c r="D98" t="s">
        <v>399</v>
      </c>
      <c r="E98" t="s">
        <v>118</v>
      </c>
      <c r="F98" t="s">
        <v>95</v>
      </c>
      <c r="G98" t="s">
        <v>38</v>
      </c>
      <c r="H98" t="s">
        <v>39</v>
      </c>
      <c r="I98" t="s">
        <v>40</v>
      </c>
      <c r="J98" t="s">
        <v>74</v>
      </c>
      <c r="K98" t="s">
        <v>80</v>
      </c>
      <c r="L98" t="s">
        <v>400</v>
      </c>
      <c r="M98" t="s">
        <v>31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32</v>
      </c>
      <c r="U98" t="s">
        <v>33</v>
      </c>
      <c r="V98" t="s">
        <v>2834</v>
      </c>
      <c r="W98" t="s">
        <v>2834</v>
      </c>
      <c r="X98" t="s">
        <v>2834</v>
      </c>
      <c r="Y98" t="s">
        <v>2834</v>
      </c>
      <c r="Z98">
        <v>2</v>
      </c>
      <c r="AA98" t="s">
        <v>2789</v>
      </c>
      <c r="AB98">
        <v>0.15</v>
      </c>
      <c r="AC98" t="s">
        <v>2794</v>
      </c>
      <c r="AD98">
        <v>3840.7079999999996</v>
      </c>
      <c r="AE98">
        <v>1324.4179999999997</v>
      </c>
      <c r="AF98">
        <v>0.34483694152224009</v>
      </c>
      <c r="AG98" t="s">
        <v>2825</v>
      </c>
      <c r="AH98">
        <v>2024</v>
      </c>
      <c r="AI98" t="s">
        <v>2835</v>
      </c>
    </row>
    <row r="99" spans="1:35">
      <c r="A99" t="s">
        <v>401</v>
      </c>
      <c r="B99">
        <v>45877</v>
      </c>
      <c r="C99">
        <v>45880</v>
      </c>
      <c r="D99" t="s">
        <v>402</v>
      </c>
      <c r="E99" t="s">
        <v>162</v>
      </c>
      <c r="F99" t="s">
        <v>37</v>
      </c>
      <c r="G99" t="s">
        <v>63</v>
      </c>
      <c r="H99" t="s">
        <v>180</v>
      </c>
      <c r="I99" t="s">
        <v>181</v>
      </c>
      <c r="J99" t="s">
        <v>28</v>
      </c>
      <c r="K99" t="s">
        <v>124</v>
      </c>
      <c r="L99" t="s">
        <v>403</v>
      </c>
      <c r="M99" t="s">
        <v>44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111</v>
      </c>
      <c r="U99" t="s">
        <v>103</v>
      </c>
      <c r="V99" t="s">
        <v>2834</v>
      </c>
      <c r="W99" t="s">
        <v>2834</v>
      </c>
      <c r="X99" t="s">
        <v>2834</v>
      </c>
      <c r="Y99" t="s">
        <v>2834</v>
      </c>
      <c r="Z99">
        <v>3</v>
      </c>
      <c r="AA99" t="s">
        <v>2789</v>
      </c>
      <c r="AB99">
        <v>0.2</v>
      </c>
      <c r="AC99" t="s">
        <v>2794</v>
      </c>
      <c r="AD99">
        <v>14409.44</v>
      </c>
      <c r="AE99">
        <v>5599.4700000000012</v>
      </c>
      <c r="AF99">
        <v>0.38859733619071951</v>
      </c>
      <c r="AG99" t="s">
        <v>2827</v>
      </c>
      <c r="AH99">
        <v>2025</v>
      </c>
      <c r="AI99" t="s">
        <v>2835</v>
      </c>
    </row>
    <row r="100" spans="1:35">
      <c r="A100" t="s">
        <v>404</v>
      </c>
      <c r="B100">
        <v>45317</v>
      </c>
      <c r="C100">
        <v>45323</v>
      </c>
      <c r="D100" t="s">
        <v>405</v>
      </c>
      <c r="E100" t="s">
        <v>141</v>
      </c>
      <c r="F100" t="s">
        <v>95</v>
      </c>
      <c r="G100" t="s">
        <v>54</v>
      </c>
      <c r="H100" t="s">
        <v>185</v>
      </c>
      <c r="I100" t="s">
        <v>186</v>
      </c>
      <c r="J100" t="s">
        <v>74</v>
      </c>
      <c r="K100" t="s">
        <v>80</v>
      </c>
      <c r="L100" t="s">
        <v>406</v>
      </c>
      <c r="M100" t="s">
        <v>2791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32</v>
      </c>
      <c r="U100" t="s">
        <v>33</v>
      </c>
      <c r="V100" t="s">
        <v>2834</v>
      </c>
      <c r="W100" t="s">
        <v>2834</v>
      </c>
      <c r="X100" t="s">
        <v>2834</v>
      </c>
      <c r="Y100" t="s">
        <v>2834</v>
      </c>
      <c r="Z100">
        <v>6</v>
      </c>
      <c r="AA100" t="s">
        <v>2789</v>
      </c>
      <c r="AB100">
        <v>0.1</v>
      </c>
      <c r="AC100" t="s">
        <v>2794</v>
      </c>
      <c r="AD100">
        <v>15184.295999999998</v>
      </c>
      <c r="AE100">
        <v>3913.5559999999987</v>
      </c>
      <c r="AF100">
        <v>0.25773707256497103</v>
      </c>
      <c r="AG100" t="s">
        <v>2820</v>
      </c>
      <c r="AH100">
        <v>2024</v>
      </c>
      <c r="AI100" t="s">
        <v>2838</v>
      </c>
    </row>
    <row r="101" spans="1:35">
      <c r="A101" t="s">
        <v>407</v>
      </c>
      <c r="B101">
        <v>45668</v>
      </c>
      <c r="C101">
        <v>45668</v>
      </c>
      <c r="D101" t="s">
        <v>408</v>
      </c>
      <c r="E101" t="s">
        <v>89</v>
      </c>
      <c r="F101" t="s">
        <v>37</v>
      </c>
      <c r="G101" t="s">
        <v>63</v>
      </c>
      <c r="H101" t="s">
        <v>26</v>
      </c>
      <c r="I101" t="s">
        <v>109</v>
      </c>
      <c r="J101" t="s">
        <v>74</v>
      </c>
      <c r="K101" t="s">
        <v>75</v>
      </c>
      <c r="L101" t="s">
        <v>409</v>
      </c>
      <c r="M101" t="s">
        <v>44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32</v>
      </c>
      <c r="U101" t="s">
        <v>33</v>
      </c>
      <c r="V101" t="s">
        <v>2834</v>
      </c>
      <c r="W101" t="s">
        <v>2834</v>
      </c>
      <c r="X101" t="s">
        <v>2834</v>
      </c>
      <c r="Y101" t="s">
        <v>2834</v>
      </c>
      <c r="Z101">
        <v>0</v>
      </c>
      <c r="AA101" t="s">
        <v>2789</v>
      </c>
      <c r="AB101">
        <v>0</v>
      </c>
      <c r="AC101" t="s">
        <v>2794</v>
      </c>
      <c r="AD101">
        <v>6495.87</v>
      </c>
      <c r="AE101">
        <v>1794.9799999999996</v>
      </c>
      <c r="AF101">
        <v>0.27632634273777024</v>
      </c>
      <c r="AG101" t="s">
        <v>2820</v>
      </c>
      <c r="AH101">
        <v>2025</v>
      </c>
      <c r="AI101" t="s">
        <v>2835</v>
      </c>
    </row>
    <row r="102" spans="1:35">
      <c r="A102" t="s">
        <v>410</v>
      </c>
      <c r="B102">
        <v>45912</v>
      </c>
      <c r="C102">
        <v>45918</v>
      </c>
      <c r="D102" t="s">
        <v>411</v>
      </c>
      <c r="E102" t="s">
        <v>128</v>
      </c>
      <c r="F102" t="s">
        <v>95</v>
      </c>
      <c r="G102" t="s">
        <v>54</v>
      </c>
      <c r="H102" t="s">
        <v>185</v>
      </c>
      <c r="I102" t="s">
        <v>186</v>
      </c>
      <c r="J102" t="s">
        <v>28</v>
      </c>
      <c r="K102" t="s">
        <v>124</v>
      </c>
      <c r="L102" t="s">
        <v>412</v>
      </c>
      <c r="M102" t="s">
        <v>59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32</v>
      </c>
      <c r="U102" t="s">
        <v>33</v>
      </c>
      <c r="V102" t="s">
        <v>2834</v>
      </c>
      <c r="W102" t="s">
        <v>2834</v>
      </c>
      <c r="X102" t="s">
        <v>2834</v>
      </c>
      <c r="Y102" t="s">
        <v>2834</v>
      </c>
      <c r="Z102">
        <v>6</v>
      </c>
      <c r="AA102" t="s">
        <v>2789</v>
      </c>
      <c r="AB102">
        <v>0.05</v>
      </c>
      <c r="AC102" t="s">
        <v>2794</v>
      </c>
      <c r="AD102">
        <v>9540.659999999998</v>
      </c>
      <c r="AE102">
        <v>3979.1699999999983</v>
      </c>
      <c r="AF102">
        <v>0.41707491934520241</v>
      </c>
      <c r="AG102" t="s">
        <v>2828</v>
      </c>
      <c r="AH102">
        <v>2025</v>
      </c>
      <c r="AI102" t="s">
        <v>2835</v>
      </c>
    </row>
    <row r="103" spans="1:35">
      <c r="A103" t="s">
        <v>413</v>
      </c>
      <c r="B103">
        <v>45465</v>
      </c>
      <c r="C103">
        <v>45469</v>
      </c>
      <c r="D103" t="s">
        <v>414</v>
      </c>
      <c r="E103" t="s">
        <v>141</v>
      </c>
      <c r="F103" t="s">
        <v>95</v>
      </c>
      <c r="G103" t="s">
        <v>38</v>
      </c>
      <c r="H103" t="s">
        <v>145</v>
      </c>
      <c r="I103" t="s">
        <v>146</v>
      </c>
      <c r="J103" t="s">
        <v>41</v>
      </c>
      <c r="K103" t="s">
        <v>57</v>
      </c>
      <c r="L103" t="s">
        <v>415</v>
      </c>
      <c r="M103" t="s">
        <v>50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32</v>
      </c>
      <c r="U103" t="s">
        <v>33</v>
      </c>
      <c r="V103" t="s">
        <v>2834</v>
      </c>
      <c r="W103" t="s">
        <v>2834</v>
      </c>
      <c r="X103" t="s">
        <v>2834</v>
      </c>
      <c r="Y103" t="s">
        <v>2834</v>
      </c>
      <c r="Z103">
        <v>4</v>
      </c>
      <c r="AA103" t="s">
        <v>2789</v>
      </c>
      <c r="AB103">
        <v>0.25</v>
      </c>
      <c r="AC103" t="s">
        <v>2794</v>
      </c>
      <c r="AD103">
        <v>16486.95</v>
      </c>
      <c r="AE103">
        <v>4432.8100000000013</v>
      </c>
      <c r="AF103">
        <v>0.26886780150361356</v>
      </c>
      <c r="AG103" t="s">
        <v>2825</v>
      </c>
      <c r="AH103">
        <v>2024</v>
      </c>
      <c r="AI103" t="s">
        <v>2835</v>
      </c>
    </row>
    <row r="104" spans="1:35">
      <c r="A104" t="s">
        <v>416</v>
      </c>
      <c r="B104">
        <v>45850</v>
      </c>
      <c r="C104">
        <v>45854</v>
      </c>
      <c r="D104" t="s">
        <v>417</v>
      </c>
      <c r="E104" t="s">
        <v>71</v>
      </c>
      <c r="F104" t="s">
        <v>24</v>
      </c>
      <c r="G104" t="s">
        <v>54</v>
      </c>
      <c r="H104" t="s">
        <v>175</v>
      </c>
      <c r="I104" t="s">
        <v>176</v>
      </c>
      <c r="J104" t="s">
        <v>41</v>
      </c>
      <c r="K104" t="s">
        <v>66</v>
      </c>
      <c r="L104" t="s">
        <v>418</v>
      </c>
      <c r="M104" t="s">
        <v>50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102</v>
      </c>
      <c r="U104" t="s">
        <v>68</v>
      </c>
      <c r="V104" t="s">
        <v>2834</v>
      </c>
      <c r="W104" t="s">
        <v>2834</v>
      </c>
      <c r="X104" t="s">
        <v>2834</v>
      </c>
      <c r="Y104" t="s">
        <v>2834</v>
      </c>
      <c r="Z104">
        <v>4</v>
      </c>
      <c r="AA104" t="s">
        <v>2789</v>
      </c>
      <c r="AB104">
        <v>0</v>
      </c>
      <c r="AC104" t="s">
        <v>2794</v>
      </c>
      <c r="AD104">
        <v>11462.84</v>
      </c>
      <c r="AE104">
        <v>2483.0599999999995</v>
      </c>
      <c r="AF104">
        <v>0.21661822026653077</v>
      </c>
      <c r="AG104" t="s">
        <v>2826</v>
      </c>
      <c r="AH104">
        <v>2025</v>
      </c>
      <c r="AI104" t="s">
        <v>2835</v>
      </c>
    </row>
    <row r="105" spans="1:35">
      <c r="A105" t="s">
        <v>419</v>
      </c>
      <c r="B105">
        <v>45779</v>
      </c>
      <c r="C105">
        <v>45787</v>
      </c>
      <c r="D105" t="s">
        <v>420</v>
      </c>
      <c r="E105" t="s">
        <v>264</v>
      </c>
      <c r="F105" t="s">
        <v>90</v>
      </c>
      <c r="G105" t="s">
        <v>63</v>
      </c>
      <c r="H105" t="s">
        <v>64</v>
      </c>
      <c r="I105" t="s">
        <v>65</v>
      </c>
      <c r="J105" t="s">
        <v>41</v>
      </c>
      <c r="K105" t="s">
        <v>42</v>
      </c>
      <c r="L105" t="s">
        <v>421</v>
      </c>
      <c r="M105" t="s">
        <v>50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32</v>
      </c>
      <c r="U105" t="s">
        <v>33</v>
      </c>
      <c r="V105" t="s">
        <v>2834</v>
      </c>
      <c r="W105" t="s">
        <v>2834</v>
      </c>
      <c r="X105" t="s">
        <v>2834</v>
      </c>
      <c r="Y105" t="s">
        <v>2834</v>
      </c>
      <c r="Z105">
        <v>8</v>
      </c>
      <c r="AA105" t="s">
        <v>2789</v>
      </c>
      <c r="AB105">
        <v>0.2</v>
      </c>
      <c r="AC105" t="s">
        <v>2794</v>
      </c>
      <c r="AD105">
        <v>7809.0880000000006</v>
      </c>
      <c r="AE105">
        <v>1151.3380000000006</v>
      </c>
      <c r="AF105">
        <v>0.14743565445798543</v>
      </c>
      <c r="AG105" t="s">
        <v>2824</v>
      </c>
      <c r="AH105">
        <v>2025</v>
      </c>
      <c r="AI105" t="s">
        <v>2835</v>
      </c>
    </row>
    <row r="106" spans="1:35">
      <c r="A106" t="s">
        <v>422</v>
      </c>
      <c r="B106">
        <v>45689</v>
      </c>
      <c r="C106">
        <v>45696</v>
      </c>
      <c r="D106" t="s">
        <v>423</v>
      </c>
      <c r="E106" t="s">
        <v>62</v>
      </c>
      <c r="F106" t="s">
        <v>24</v>
      </c>
      <c r="G106" t="s">
        <v>54</v>
      </c>
      <c r="H106" t="s">
        <v>175</v>
      </c>
      <c r="I106" t="s">
        <v>176</v>
      </c>
      <c r="J106" t="s">
        <v>28</v>
      </c>
      <c r="K106" t="s">
        <v>91</v>
      </c>
      <c r="L106" t="s">
        <v>424</v>
      </c>
      <c r="M106" t="s">
        <v>44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32</v>
      </c>
      <c r="U106" t="s">
        <v>68</v>
      </c>
      <c r="V106" t="s">
        <v>2834</v>
      </c>
      <c r="W106" t="s">
        <v>2834</v>
      </c>
      <c r="X106" t="s">
        <v>2834</v>
      </c>
      <c r="Y106" t="s">
        <v>2834</v>
      </c>
      <c r="Z106">
        <v>7</v>
      </c>
      <c r="AA106" t="s">
        <v>2789</v>
      </c>
      <c r="AB106">
        <v>0.25</v>
      </c>
      <c r="AC106" t="s">
        <v>2794</v>
      </c>
      <c r="AD106">
        <v>7922.0250000000005</v>
      </c>
      <c r="AE106">
        <v>2302.0750000000007</v>
      </c>
      <c r="AF106">
        <v>0.29059173633004193</v>
      </c>
      <c r="AG106" t="s">
        <v>2821</v>
      </c>
      <c r="AH106">
        <v>2025</v>
      </c>
      <c r="AI106" t="s">
        <v>2835</v>
      </c>
    </row>
    <row r="107" spans="1:35">
      <c r="A107" t="s">
        <v>425</v>
      </c>
      <c r="B107">
        <v>45467</v>
      </c>
      <c r="C107">
        <v>45472</v>
      </c>
      <c r="D107" t="s">
        <v>426</v>
      </c>
      <c r="E107" t="s">
        <v>36</v>
      </c>
      <c r="F107" t="s">
        <v>95</v>
      </c>
      <c r="G107" t="s">
        <v>38</v>
      </c>
      <c r="H107" t="s">
        <v>99</v>
      </c>
      <c r="I107" t="s">
        <v>100</v>
      </c>
      <c r="J107" t="s">
        <v>41</v>
      </c>
      <c r="K107" t="s">
        <v>42</v>
      </c>
      <c r="L107" t="s">
        <v>427</v>
      </c>
      <c r="M107" t="s">
        <v>31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32</v>
      </c>
      <c r="U107" t="s">
        <v>33</v>
      </c>
      <c r="V107" t="s">
        <v>2834</v>
      </c>
      <c r="W107" t="s">
        <v>2834</v>
      </c>
      <c r="X107" t="s">
        <v>2834</v>
      </c>
      <c r="Y107" t="s">
        <v>2834</v>
      </c>
      <c r="Z107">
        <v>5</v>
      </c>
      <c r="AA107" t="s">
        <v>2789</v>
      </c>
      <c r="AB107">
        <v>0.1</v>
      </c>
      <c r="AC107" t="s">
        <v>2794</v>
      </c>
      <c r="AD107">
        <v>1233</v>
      </c>
      <c r="AE107">
        <v>226.10000000000002</v>
      </c>
      <c r="AF107">
        <v>0.18337388483373887</v>
      </c>
      <c r="AG107" t="s">
        <v>2825</v>
      </c>
      <c r="AH107">
        <v>2024</v>
      </c>
      <c r="AI107" t="s">
        <v>2835</v>
      </c>
    </row>
    <row r="108" spans="1:35">
      <c r="A108" t="s">
        <v>428</v>
      </c>
      <c r="B108">
        <v>45342</v>
      </c>
      <c r="C108">
        <v>45350</v>
      </c>
      <c r="D108" t="s">
        <v>429</v>
      </c>
      <c r="E108" t="s">
        <v>53</v>
      </c>
      <c r="F108" t="s">
        <v>95</v>
      </c>
      <c r="G108" t="s">
        <v>38</v>
      </c>
      <c r="H108" t="s">
        <v>99</v>
      </c>
      <c r="I108" t="s">
        <v>100</v>
      </c>
      <c r="J108" t="s">
        <v>28</v>
      </c>
      <c r="K108" t="s">
        <v>29</v>
      </c>
      <c r="L108" t="s">
        <v>430</v>
      </c>
      <c r="M108" t="s">
        <v>59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32</v>
      </c>
      <c r="U108" t="s">
        <v>68</v>
      </c>
      <c r="V108" t="s">
        <v>2834</v>
      </c>
      <c r="W108" t="s">
        <v>2834</v>
      </c>
      <c r="X108" t="s">
        <v>2834</v>
      </c>
      <c r="Y108" t="s">
        <v>2834</v>
      </c>
      <c r="Z108">
        <v>8</v>
      </c>
      <c r="AA108" t="s">
        <v>2789</v>
      </c>
      <c r="AB108">
        <v>0</v>
      </c>
      <c r="AC108" t="s">
        <v>2796</v>
      </c>
      <c r="AD108">
        <v>8008.08</v>
      </c>
      <c r="AE108">
        <v>2298.6899999999996</v>
      </c>
      <c r="AF108">
        <v>0.28704633320346445</v>
      </c>
      <c r="AG108" t="s">
        <v>2821</v>
      </c>
      <c r="AH108">
        <v>2024</v>
      </c>
      <c r="AI108" t="s">
        <v>2838</v>
      </c>
    </row>
    <row r="109" spans="1:35">
      <c r="A109" t="s">
        <v>431</v>
      </c>
      <c r="B109">
        <v>45594</v>
      </c>
      <c r="C109">
        <v>45600</v>
      </c>
      <c r="D109" t="s">
        <v>432</v>
      </c>
      <c r="E109" t="s">
        <v>141</v>
      </c>
      <c r="F109" t="s">
        <v>95</v>
      </c>
      <c r="G109" t="s">
        <v>38</v>
      </c>
      <c r="H109" t="s">
        <v>99</v>
      </c>
      <c r="I109" t="s">
        <v>100</v>
      </c>
      <c r="J109" t="s">
        <v>41</v>
      </c>
      <c r="K109" t="s">
        <v>57</v>
      </c>
      <c r="L109" t="s">
        <v>433</v>
      </c>
      <c r="M109" t="s">
        <v>50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32</v>
      </c>
      <c r="U109" t="s">
        <v>33</v>
      </c>
      <c r="V109" t="s">
        <v>2834</v>
      </c>
      <c r="W109" t="s">
        <v>2834</v>
      </c>
      <c r="X109" t="s">
        <v>2834</v>
      </c>
      <c r="Y109" t="s">
        <v>2834</v>
      </c>
      <c r="Z109">
        <v>6</v>
      </c>
      <c r="AA109" t="s">
        <v>2789</v>
      </c>
      <c r="AB109">
        <v>0.05</v>
      </c>
      <c r="AC109" t="s">
        <v>2794</v>
      </c>
      <c r="AD109">
        <v>12263.236500000001</v>
      </c>
      <c r="AE109">
        <v>3337.6665000000012</v>
      </c>
      <c r="AF109">
        <v>0.27216848504878799</v>
      </c>
      <c r="AG109" t="s">
        <v>2829</v>
      </c>
      <c r="AH109">
        <v>2024</v>
      </c>
      <c r="AI109" t="s">
        <v>2835</v>
      </c>
    </row>
    <row r="110" spans="1:35">
      <c r="A110" t="s">
        <v>434</v>
      </c>
      <c r="B110">
        <v>45519</v>
      </c>
      <c r="C110">
        <v>45527</v>
      </c>
      <c r="D110" t="s">
        <v>435</v>
      </c>
      <c r="E110" t="s">
        <v>89</v>
      </c>
      <c r="F110" t="s">
        <v>37</v>
      </c>
      <c r="G110" t="s">
        <v>38</v>
      </c>
      <c r="H110" t="s">
        <v>39</v>
      </c>
      <c r="I110" t="s">
        <v>40</v>
      </c>
      <c r="J110" t="s">
        <v>41</v>
      </c>
      <c r="K110" t="s">
        <v>158</v>
      </c>
      <c r="L110" t="s">
        <v>436</v>
      </c>
      <c r="M110" t="s">
        <v>44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32</v>
      </c>
      <c r="U110" t="s">
        <v>33</v>
      </c>
      <c r="V110" t="s">
        <v>2834</v>
      </c>
      <c r="W110" t="s">
        <v>2834</v>
      </c>
      <c r="X110" t="s">
        <v>2834</v>
      </c>
      <c r="Y110" t="s">
        <v>2834</v>
      </c>
      <c r="Z110">
        <v>8</v>
      </c>
      <c r="AA110" t="s">
        <v>2789</v>
      </c>
      <c r="AB110">
        <v>0.25</v>
      </c>
      <c r="AC110" t="s">
        <v>2794</v>
      </c>
      <c r="AD110">
        <v>806.31</v>
      </c>
      <c r="AE110">
        <v>307.80999999999995</v>
      </c>
      <c r="AF110">
        <v>0.38175143555208291</v>
      </c>
      <c r="AG110" t="s">
        <v>2827</v>
      </c>
      <c r="AH110">
        <v>2024</v>
      </c>
      <c r="AI110" t="s">
        <v>2835</v>
      </c>
    </row>
    <row r="111" spans="1:35">
      <c r="A111" t="s">
        <v>437</v>
      </c>
      <c r="B111">
        <v>45892</v>
      </c>
      <c r="C111">
        <v>45896</v>
      </c>
      <c r="D111" t="s">
        <v>438</v>
      </c>
      <c r="E111" t="s">
        <v>132</v>
      </c>
      <c r="F111" t="s">
        <v>24</v>
      </c>
      <c r="G111" t="s">
        <v>25</v>
      </c>
      <c r="H111" t="s">
        <v>350</v>
      </c>
      <c r="I111" t="s">
        <v>351</v>
      </c>
      <c r="J111" t="s">
        <v>28</v>
      </c>
      <c r="K111" t="s">
        <v>153</v>
      </c>
      <c r="L111" t="s">
        <v>439</v>
      </c>
      <c r="M111" t="s">
        <v>31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32</v>
      </c>
      <c r="U111" t="s">
        <v>33</v>
      </c>
      <c r="V111" t="s">
        <v>2834</v>
      </c>
      <c r="W111" t="s">
        <v>2834</v>
      </c>
      <c r="X111" t="s">
        <v>2834</v>
      </c>
      <c r="Y111" t="s">
        <v>2834</v>
      </c>
      <c r="Z111">
        <v>4</v>
      </c>
      <c r="AA111" t="s">
        <v>2789</v>
      </c>
      <c r="AB111">
        <v>0.25</v>
      </c>
      <c r="AC111" t="s">
        <v>2794</v>
      </c>
      <c r="AD111">
        <v>2091.4650000000001</v>
      </c>
      <c r="AE111">
        <v>774.24500000000012</v>
      </c>
      <c r="AF111">
        <v>0.37019266399389905</v>
      </c>
      <c r="AG111" t="s">
        <v>2827</v>
      </c>
      <c r="AH111">
        <v>2025</v>
      </c>
      <c r="AI111" t="s">
        <v>2835</v>
      </c>
    </row>
    <row r="112" spans="1:35">
      <c r="A112" t="s">
        <v>440</v>
      </c>
      <c r="B112">
        <v>45583</v>
      </c>
      <c r="C112">
        <v>45589</v>
      </c>
      <c r="D112" t="s">
        <v>441</v>
      </c>
      <c r="E112" t="s">
        <v>71</v>
      </c>
      <c r="F112" t="s">
        <v>90</v>
      </c>
      <c r="G112" t="s">
        <v>54</v>
      </c>
      <c r="H112" t="s">
        <v>185</v>
      </c>
      <c r="I112" t="s">
        <v>186</v>
      </c>
      <c r="J112" t="s">
        <v>28</v>
      </c>
      <c r="K112" t="s">
        <v>91</v>
      </c>
      <c r="L112" t="s">
        <v>442</v>
      </c>
      <c r="M112" t="s">
        <v>50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102</v>
      </c>
      <c r="U112" t="s">
        <v>68</v>
      </c>
      <c r="V112" t="s">
        <v>2834</v>
      </c>
      <c r="W112" t="s">
        <v>2834</v>
      </c>
      <c r="X112" t="s">
        <v>2834</v>
      </c>
      <c r="Y112" t="s">
        <v>2834</v>
      </c>
      <c r="Z112">
        <v>6</v>
      </c>
      <c r="AA112" t="s">
        <v>2789</v>
      </c>
      <c r="AB112">
        <v>0</v>
      </c>
      <c r="AC112" t="s">
        <v>2794</v>
      </c>
      <c r="AD112">
        <v>4500.9399999999996</v>
      </c>
      <c r="AE112">
        <v>1893.2099999999996</v>
      </c>
      <c r="AF112">
        <v>0.42062546934640316</v>
      </c>
      <c r="AG112" t="s">
        <v>2829</v>
      </c>
      <c r="AH112">
        <v>2024</v>
      </c>
      <c r="AI112" t="s">
        <v>2835</v>
      </c>
    </row>
    <row r="113" spans="1:35">
      <c r="A113" t="s">
        <v>443</v>
      </c>
      <c r="B113">
        <v>45835</v>
      </c>
      <c r="C113">
        <v>45838</v>
      </c>
      <c r="D113" t="s">
        <v>444</v>
      </c>
      <c r="E113" t="s">
        <v>79</v>
      </c>
      <c r="F113" t="s">
        <v>90</v>
      </c>
      <c r="G113" t="s">
        <v>38</v>
      </c>
      <c r="H113" t="s">
        <v>145</v>
      </c>
      <c r="I113" t="s">
        <v>146</v>
      </c>
      <c r="J113" t="s">
        <v>74</v>
      </c>
      <c r="K113" t="s">
        <v>75</v>
      </c>
      <c r="L113" t="s">
        <v>445</v>
      </c>
      <c r="M113" t="s">
        <v>50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111</v>
      </c>
      <c r="U113" t="s">
        <v>68</v>
      </c>
      <c r="V113" t="s">
        <v>2834</v>
      </c>
      <c r="W113" t="s">
        <v>2834</v>
      </c>
      <c r="X113" t="s">
        <v>2834</v>
      </c>
      <c r="Y113" t="s">
        <v>2834</v>
      </c>
      <c r="Z113">
        <v>3</v>
      </c>
      <c r="AA113" t="s">
        <v>2789</v>
      </c>
      <c r="AB113">
        <v>0.05</v>
      </c>
      <c r="AC113" t="s">
        <v>2794</v>
      </c>
      <c r="AD113">
        <v>1623.018</v>
      </c>
      <c r="AE113">
        <v>545.55799999999999</v>
      </c>
      <c r="AF113">
        <v>0.3361379849145234</v>
      </c>
      <c r="AG113" t="s">
        <v>2825</v>
      </c>
      <c r="AH113">
        <v>2025</v>
      </c>
      <c r="AI113" t="s">
        <v>2835</v>
      </c>
    </row>
    <row r="114" spans="1:35">
      <c r="A114" t="s">
        <v>446</v>
      </c>
      <c r="B114">
        <v>45301</v>
      </c>
      <c r="C114">
        <v>45305</v>
      </c>
      <c r="D114" t="s">
        <v>447</v>
      </c>
      <c r="E114" t="s">
        <v>132</v>
      </c>
      <c r="F114" t="s">
        <v>24</v>
      </c>
      <c r="G114" t="s">
        <v>2791</v>
      </c>
      <c r="H114" t="s">
        <v>180</v>
      </c>
      <c r="I114" t="s">
        <v>181</v>
      </c>
      <c r="J114" t="s">
        <v>74</v>
      </c>
      <c r="K114" t="s">
        <v>75</v>
      </c>
      <c r="L114" t="s">
        <v>448</v>
      </c>
      <c r="M114" t="s">
        <v>59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32</v>
      </c>
      <c r="U114" t="s">
        <v>33</v>
      </c>
      <c r="V114" t="s">
        <v>2834</v>
      </c>
      <c r="W114" t="s">
        <v>2834</v>
      </c>
      <c r="X114" t="s">
        <v>2834</v>
      </c>
      <c r="Y114" t="s">
        <v>2834</v>
      </c>
      <c r="Z114">
        <v>4</v>
      </c>
      <c r="AA114" t="s">
        <v>2789</v>
      </c>
      <c r="AB114">
        <v>0.05</v>
      </c>
      <c r="AC114" t="s">
        <v>2794</v>
      </c>
      <c r="AD114">
        <v>10914.018</v>
      </c>
      <c r="AE114">
        <v>4365.2780000000002</v>
      </c>
      <c r="AF114">
        <v>0.39996983695647198</v>
      </c>
      <c r="AG114" t="s">
        <v>2820</v>
      </c>
      <c r="AH114">
        <v>2024</v>
      </c>
      <c r="AI114" t="s">
        <v>2838</v>
      </c>
    </row>
    <row r="115" spans="1:35">
      <c r="A115" t="s">
        <v>449</v>
      </c>
      <c r="B115">
        <v>45334</v>
      </c>
      <c r="C115">
        <v>45334</v>
      </c>
      <c r="D115" t="s">
        <v>360</v>
      </c>
      <c r="E115" t="s">
        <v>47</v>
      </c>
      <c r="F115" t="s">
        <v>95</v>
      </c>
      <c r="G115" t="s">
        <v>54</v>
      </c>
      <c r="H115" t="s">
        <v>247</v>
      </c>
      <c r="I115" t="s">
        <v>248</v>
      </c>
      <c r="J115" t="s">
        <v>41</v>
      </c>
      <c r="K115" t="s">
        <v>42</v>
      </c>
      <c r="L115" t="s">
        <v>450</v>
      </c>
      <c r="M115" t="s">
        <v>59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32</v>
      </c>
      <c r="U115" t="s">
        <v>33</v>
      </c>
      <c r="V115" t="s">
        <v>2834</v>
      </c>
      <c r="W115" t="s">
        <v>2834</v>
      </c>
      <c r="X115" t="s">
        <v>2834</v>
      </c>
      <c r="Y115" t="s">
        <v>2834</v>
      </c>
      <c r="Z115">
        <v>0</v>
      </c>
      <c r="AA115" t="s">
        <v>2789</v>
      </c>
      <c r="AB115">
        <v>0.25</v>
      </c>
      <c r="AC115" t="s">
        <v>2794</v>
      </c>
      <c r="AD115">
        <v>2450.5875000000001</v>
      </c>
      <c r="AE115">
        <v>810.69749999999999</v>
      </c>
      <c r="AF115">
        <v>0.33081761006289306</v>
      </c>
      <c r="AG115" t="s">
        <v>2821</v>
      </c>
      <c r="AH115">
        <v>2024</v>
      </c>
      <c r="AI115" t="s">
        <v>2835</v>
      </c>
    </row>
    <row r="116" spans="1:35">
      <c r="A116" t="s">
        <v>451</v>
      </c>
      <c r="B116">
        <v>45560</v>
      </c>
      <c r="C116">
        <v>45565</v>
      </c>
      <c r="D116" t="s">
        <v>452</v>
      </c>
      <c r="E116" t="s">
        <v>79</v>
      </c>
      <c r="F116" t="s">
        <v>37</v>
      </c>
      <c r="G116" t="s">
        <v>25</v>
      </c>
      <c r="H116" t="s">
        <v>26</v>
      </c>
      <c r="I116" t="s">
        <v>27</v>
      </c>
      <c r="J116" t="s">
        <v>74</v>
      </c>
      <c r="K116" t="s">
        <v>75</v>
      </c>
      <c r="L116" t="s">
        <v>453</v>
      </c>
      <c r="M116" t="s">
        <v>31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111</v>
      </c>
      <c r="U116" t="s">
        <v>68</v>
      </c>
      <c r="V116" t="s">
        <v>2834</v>
      </c>
      <c r="W116" t="s">
        <v>2834</v>
      </c>
      <c r="X116" t="s">
        <v>2834</v>
      </c>
      <c r="Y116" t="s">
        <v>2834</v>
      </c>
      <c r="Z116">
        <v>5</v>
      </c>
      <c r="AA116" t="s">
        <v>2789</v>
      </c>
      <c r="AB116">
        <v>0.1</v>
      </c>
      <c r="AC116" t="s">
        <v>2794</v>
      </c>
      <c r="AD116">
        <v>3949.56</v>
      </c>
      <c r="AE116">
        <v>762.82999999999993</v>
      </c>
      <c r="AF116">
        <v>0.19314303365438173</v>
      </c>
      <c r="AG116" t="s">
        <v>2828</v>
      </c>
      <c r="AH116">
        <v>2024</v>
      </c>
      <c r="AI116" t="s">
        <v>2835</v>
      </c>
    </row>
    <row r="117" spans="1:35">
      <c r="A117" t="s">
        <v>454</v>
      </c>
      <c r="B117">
        <v>45653</v>
      </c>
      <c r="C117">
        <v>45658</v>
      </c>
      <c r="D117" t="s">
        <v>455</v>
      </c>
      <c r="E117" t="s">
        <v>264</v>
      </c>
      <c r="F117" t="s">
        <v>90</v>
      </c>
      <c r="G117" t="s">
        <v>54</v>
      </c>
      <c r="H117" t="s">
        <v>247</v>
      </c>
      <c r="I117" t="s">
        <v>248</v>
      </c>
      <c r="J117" t="s">
        <v>28</v>
      </c>
      <c r="K117" t="s">
        <v>153</v>
      </c>
      <c r="L117" t="s">
        <v>456</v>
      </c>
      <c r="M117" t="s">
        <v>44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32</v>
      </c>
      <c r="U117" t="s">
        <v>68</v>
      </c>
      <c r="V117" t="s">
        <v>2834</v>
      </c>
      <c r="W117" t="s">
        <v>2834</v>
      </c>
      <c r="X117" t="s">
        <v>2834</v>
      </c>
      <c r="Y117" t="s">
        <v>2834</v>
      </c>
      <c r="Z117">
        <v>5</v>
      </c>
      <c r="AA117" t="s">
        <v>2789</v>
      </c>
      <c r="AB117">
        <v>0.15</v>
      </c>
      <c r="AC117" t="s">
        <v>2794</v>
      </c>
      <c r="AD117">
        <v>758.77799999999991</v>
      </c>
      <c r="AE117">
        <v>268.0379999999999</v>
      </c>
      <c r="AF117">
        <v>0.35324956706704719</v>
      </c>
      <c r="AG117" t="s">
        <v>2831</v>
      </c>
      <c r="AH117">
        <v>2024</v>
      </c>
      <c r="AI117" t="s">
        <v>2835</v>
      </c>
    </row>
    <row r="118" spans="1:35">
      <c r="A118" t="s">
        <v>457</v>
      </c>
      <c r="B118">
        <v>45703</v>
      </c>
      <c r="C118">
        <v>45707</v>
      </c>
      <c r="D118" t="s">
        <v>458</v>
      </c>
      <c r="E118" t="s">
        <v>62</v>
      </c>
      <c r="F118" t="s">
        <v>37</v>
      </c>
      <c r="G118" t="s">
        <v>2791</v>
      </c>
      <c r="H118" t="s">
        <v>72</v>
      </c>
      <c r="I118" t="s">
        <v>73</v>
      </c>
      <c r="J118" t="s">
        <v>28</v>
      </c>
      <c r="K118" t="s">
        <v>153</v>
      </c>
      <c r="L118" t="s">
        <v>459</v>
      </c>
      <c r="M118" t="s">
        <v>50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155</v>
      </c>
      <c r="U118" t="s">
        <v>68</v>
      </c>
      <c r="V118" t="s">
        <v>2834</v>
      </c>
      <c r="W118" t="s">
        <v>2834</v>
      </c>
      <c r="X118" t="s">
        <v>2834</v>
      </c>
      <c r="Y118" t="s">
        <v>2834</v>
      </c>
      <c r="Z118">
        <v>4</v>
      </c>
      <c r="AA118" t="s">
        <v>2789</v>
      </c>
      <c r="AB118">
        <v>0.25</v>
      </c>
      <c r="AC118" t="s">
        <v>2794</v>
      </c>
      <c r="AD118">
        <v>3590.9324999999999</v>
      </c>
      <c r="AE118">
        <v>529.54250000000002</v>
      </c>
      <c r="AF118">
        <v>0.14746657031286442</v>
      </c>
      <c r="AG118" t="s">
        <v>2821</v>
      </c>
      <c r="AH118">
        <v>2025</v>
      </c>
      <c r="AI118" t="s">
        <v>2838</v>
      </c>
    </row>
    <row r="119" spans="1:35">
      <c r="A119" t="s">
        <v>460</v>
      </c>
      <c r="B119">
        <v>45337</v>
      </c>
      <c r="C119">
        <v>45339</v>
      </c>
      <c r="D119" t="s">
        <v>461</v>
      </c>
      <c r="E119" t="s">
        <v>36</v>
      </c>
      <c r="F119" t="s">
        <v>95</v>
      </c>
      <c r="G119" t="s">
        <v>54</v>
      </c>
      <c r="H119" t="s">
        <v>247</v>
      </c>
      <c r="I119" t="s">
        <v>248</v>
      </c>
      <c r="J119" t="s">
        <v>74</v>
      </c>
      <c r="K119" t="s">
        <v>274</v>
      </c>
      <c r="L119" t="s">
        <v>462</v>
      </c>
      <c r="M119" t="s">
        <v>59</v>
      </c>
      <c r="N119">
        <v>9</v>
      </c>
      <c r="O119">
        <v>3324.55</v>
      </c>
      <c r="P119" t="s">
        <v>463</v>
      </c>
      <c r="Q119">
        <v>25432.81</v>
      </c>
      <c r="R119">
        <v>20370.16</v>
      </c>
      <c r="S119">
        <v>5062.6499999999996</v>
      </c>
      <c r="T119" t="s">
        <v>32</v>
      </c>
      <c r="U119" t="s">
        <v>33</v>
      </c>
      <c r="V119" t="s">
        <v>2834</v>
      </c>
      <c r="W119" t="s">
        <v>2834</v>
      </c>
      <c r="X119" t="s">
        <v>2834</v>
      </c>
      <c r="Y119" t="s">
        <v>2834</v>
      </c>
      <c r="Z119">
        <v>2</v>
      </c>
      <c r="AA119" t="s">
        <v>2789</v>
      </c>
      <c r="AB119">
        <v>0.7</v>
      </c>
      <c r="AC119" t="s">
        <v>2797</v>
      </c>
      <c r="AD119">
        <v>8976.2850000000017</v>
      </c>
      <c r="AE119">
        <v>-11393.874999999998</v>
      </c>
      <c r="AF119">
        <v>-1.2693307977632167</v>
      </c>
      <c r="AG119" t="s">
        <v>2821</v>
      </c>
      <c r="AH119">
        <v>2024</v>
      </c>
      <c r="AI119" t="s">
        <v>2836</v>
      </c>
    </row>
    <row r="120" spans="1:35">
      <c r="A120" t="s">
        <v>464</v>
      </c>
      <c r="B120">
        <v>45453</v>
      </c>
      <c r="C120">
        <v>45461</v>
      </c>
      <c r="D120" t="s">
        <v>465</v>
      </c>
      <c r="E120" t="s">
        <v>71</v>
      </c>
      <c r="F120" t="s">
        <v>95</v>
      </c>
      <c r="G120" t="s">
        <v>54</v>
      </c>
      <c r="H120" t="s">
        <v>84</v>
      </c>
      <c r="I120" t="s">
        <v>85</v>
      </c>
      <c r="J120" t="s">
        <v>74</v>
      </c>
      <c r="K120" t="s">
        <v>80</v>
      </c>
      <c r="L120" t="s">
        <v>466</v>
      </c>
      <c r="M120" t="s">
        <v>44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32</v>
      </c>
      <c r="U120" t="s">
        <v>33</v>
      </c>
      <c r="V120" t="s">
        <v>2834</v>
      </c>
      <c r="W120" t="s">
        <v>2834</v>
      </c>
      <c r="X120" t="s">
        <v>2834</v>
      </c>
      <c r="Y120" t="s">
        <v>2834</v>
      </c>
      <c r="Z120">
        <v>8</v>
      </c>
      <c r="AA120" t="s">
        <v>2789</v>
      </c>
      <c r="AB120">
        <v>0.2</v>
      </c>
      <c r="AC120" t="s">
        <v>2794</v>
      </c>
      <c r="AD120">
        <v>6321.0800000000008</v>
      </c>
      <c r="AE120">
        <v>1913.8600000000006</v>
      </c>
      <c r="AF120">
        <v>0.30277420947053357</v>
      </c>
      <c r="AG120" t="s">
        <v>2825</v>
      </c>
      <c r="AH120">
        <v>2024</v>
      </c>
      <c r="AI120" t="s">
        <v>2835</v>
      </c>
    </row>
    <row r="121" spans="1:35">
      <c r="A121" t="s">
        <v>467</v>
      </c>
      <c r="B121">
        <v>45455</v>
      </c>
      <c r="C121">
        <v>45462</v>
      </c>
      <c r="D121" t="s">
        <v>468</v>
      </c>
      <c r="E121" t="s">
        <v>89</v>
      </c>
      <c r="F121" t="s">
        <v>37</v>
      </c>
      <c r="G121" t="s">
        <v>54</v>
      </c>
      <c r="H121" t="s">
        <v>185</v>
      </c>
      <c r="I121" t="s">
        <v>186</v>
      </c>
      <c r="J121" t="s">
        <v>41</v>
      </c>
      <c r="K121" t="s">
        <v>66</v>
      </c>
      <c r="L121" t="s">
        <v>469</v>
      </c>
      <c r="M121" t="s">
        <v>59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102</v>
      </c>
      <c r="U121" t="s">
        <v>103</v>
      </c>
      <c r="V121" t="s">
        <v>2834</v>
      </c>
      <c r="W121" t="s">
        <v>2834</v>
      </c>
      <c r="X121" t="s">
        <v>2834</v>
      </c>
      <c r="Y121" t="s">
        <v>2834</v>
      </c>
      <c r="Z121">
        <v>7</v>
      </c>
      <c r="AA121" t="s">
        <v>2789</v>
      </c>
      <c r="AB121">
        <v>0.25</v>
      </c>
      <c r="AC121" t="s">
        <v>2794</v>
      </c>
      <c r="AD121">
        <v>1884.3000000000002</v>
      </c>
      <c r="AE121">
        <v>366.61000000000013</v>
      </c>
      <c r="AF121">
        <v>0.19456031417502526</v>
      </c>
      <c r="AG121" t="s">
        <v>2825</v>
      </c>
      <c r="AH121">
        <v>2024</v>
      </c>
      <c r="AI121" t="s">
        <v>2835</v>
      </c>
    </row>
    <row r="122" spans="1:35">
      <c r="A122" t="s">
        <v>470</v>
      </c>
      <c r="B122">
        <v>45514</v>
      </c>
      <c r="C122">
        <v>45522</v>
      </c>
      <c r="D122" t="s">
        <v>471</v>
      </c>
      <c r="E122" t="s">
        <v>132</v>
      </c>
      <c r="F122" t="s">
        <v>37</v>
      </c>
      <c r="G122" t="s">
        <v>38</v>
      </c>
      <c r="H122" t="s">
        <v>145</v>
      </c>
      <c r="I122" t="s">
        <v>146</v>
      </c>
      <c r="J122" t="s">
        <v>74</v>
      </c>
      <c r="K122" t="s">
        <v>171</v>
      </c>
      <c r="L122" t="s">
        <v>472</v>
      </c>
      <c r="M122" t="s">
        <v>59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32</v>
      </c>
      <c r="U122" t="s">
        <v>103</v>
      </c>
      <c r="V122" t="s">
        <v>2834</v>
      </c>
      <c r="W122" t="s">
        <v>2834</v>
      </c>
      <c r="X122" t="s">
        <v>2834</v>
      </c>
      <c r="Y122" t="s">
        <v>2834</v>
      </c>
      <c r="Z122">
        <v>8</v>
      </c>
      <c r="AA122" t="s">
        <v>2789</v>
      </c>
      <c r="AB122">
        <v>0.2</v>
      </c>
      <c r="AC122" t="s">
        <v>2794</v>
      </c>
      <c r="AD122">
        <v>1458.9360000000001</v>
      </c>
      <c r="AE122">
        <v>565.7360000000001</v>
      </c>
      <c r="AF122">
        <v>0.38777300717783375</v>
      </c>
      <c r="AG122" t="s">
        <v>2827</v>
      </c>
      <c r="AH122">
        <v>2024</v>
      </c>
      <c r="AI122" t="s">
        <v>2835</v>
      </c>
    </row>
    <row r="123" spans="1:35">
      <c r="A123" t="s">
        <v>473</v>
      </c>
      <c r="B123">
        <v>45891</v>
      </c>
      <c r="C123">
        <v>45895</v>
      </c>
      <c r="D123" t="s">
        <v>474</v>
      </c>
      <c r="E123" t="s">
        <v>264</v>
      </c>
      <c r="F123" t="s">
        <v>37</v>
      </c>
      <c r="G123" t="s">
        <v>54</v>
      </c>
      <c r="H123" t="s">
        <v>84</v>
      </c>
      <c r="I123" t="s">
        <v>85</v>
      </c>
      <c r="J123" t="s">
        <v>74</v>
      </c>
      <c r="K123" t="s">
        <v>274</v>
      </c>
      <c r="L123" t="s">
        <v>475</v>
      </c>
      <c r="M123" t="s">
        <v>31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102</v>
      </c>
      <c r="U123" t="s">
        <v>68</v>
      </c>
      <c r="V123" t="s">
        <v>2834</v>
      </c>
      <c r="W123" t="s">
        <v>2834</v>
      </c>
      <c r="X123" t="s">
        <v>2834</v>
      </c>
      <c r="Y123" t="s">
        <v>2834</v>
      </c>
      <c r="Z123">
        <v>4</v>
      </c>
      <c r="AA123" t="s">
        <v>2789</v>
      </c>
      <c r="AB123">
        <v>0</v>
      </c>
      <c r="AC123" t="s">
        <v>2794</v>
      </c>
      <c r="AD123">
        <v>17414.599999999999</v>
      </c>
      <c r="AE123">
        <v>5653.6899999999987</v>
      </c>
      <c r="AF123">
        <v>0.3246523032398102</v>
      </c>
      <c r="AG123" t="s">
        <v>2827</v>
      </c>
      <c r="AH123">
        <v>2025</v>
      </c>
      <c r="AI123" t="s">
        <v>2835</v>
      </c>
    </row>
    <row r="124" spans="1:35">
      <c r="A124" t="s">
        <v>476</v>
      </c>
      <c r="B124">
        <v>45626</v>
      </c>
      <c r="C124">
        <v>45630</v>
      </c>
      <c r="D124" t="s">
        <v>477</v>
      </c>
      <c r="E124" t="s">
        <v>62</v>
      </c>
      <c r="F124" t="s">
        <v>37</v>
      </c>
      <c r="G124" t="s">
        <v>38</v>
      </c>
      <c r="H124" t="s">
        <v>166</v>
      </c>
      <c r="I124" t="s">
        <v>167</v>
      </c>
      <c r="J124" t="s">
        <v>41</v>
      </c>
      <c r="K124" t="s">
        <v>66</v>
      </c>
      <c r="L124" t="s">
        <v>478</v>
      </c>
      <c r="M124" t="s">
        <v>31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32</v>
      </c>
      <c r="U124" t="s">
        <v>33</v>
      </c>
      <c r="V124" t="s">
        <v>2834</v>
      </c>
      <c r="W124" t="s">
        <v>2834</v>
      </c>
      <c r="X124" t="s">
        <v>2834</v>
      </c>
      <c r="Y124" t="s">
        <v>2834</v>
      </c>
      <c r="Z124">
        <v>4</v>
      </c>
      <c r="AA124" t="s">
        <v>2789</v>
      </c>
      <c r="AB124">
        <v>0</v>
      </c>
      <c r="AC124" t="s">
        <v>2794</v>
      </c>
      <c r="AD124">
        <v>511.04999999999995</v>
      </c>
      <c r="AE124">
        <v>143.86999999999995</v>
      </c>
      <c r="AF124">
        <v>0.28151844242246349</v>
      </c>
      <c r="AG124" t="s">
        <v>2830</v>
      </c>
      <c r="AH124">
        <v>2024</v>
      </c>
      <c r="AI124" t="s">
        <v>2835</v>
      </c>
    </row>
    <row r="125" spans="1:35">
      <c r="A125" t="s">
        <v>479</v>
      </c>
      <c r="B125">
        <v>45436</v>
      </c>
      <c r="C125">
        <v>45437</v>
      </c>
      <c r="D125" t="s">
        <v>480</v>
      </c>
      <c r="E125" t="s">
        <v>132</v>
      </c>
      <c r="F125" t="s">
        <v>37</v>
      </c>
      <c r="G125" t="s">
        <v>25</v>
      </c>
      <c r="H125" t="s">
        <v>122</v>
      </c>
      <c r="I125" t="s">
        <v>123</v>
      </c>
      <c r="J125" t="s">
        <v>74</v>
      </c>
      <c r="K125" t="s">
        <v>80</v>
      </c>
      <c r="L125" t="s">
        <v>481</v>
      </c>
      <c r="M125" t="s">
        <v>44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102</v>
      </c>
      <c r="U125" t="s">
        <v>68</v>
      </c>
      <c r="V125" t="s">
        <v>2834</v>
      </c>
      <c r="W125" t="s">
        <v>2834</v>
      </c>
      <c r="X125" t="s">
        <v>2834</v>
      </c>
      <c r="Y125" t="s">
        <v>2834</v>
      </c>
      <c r="Z125">
        <v>1</v>
      </c>
      <c r="AA125" t="s">
        <v>2790</v>
      </c>
      <c r="AB125">
        <v>0</v>
      </c>
      <c r="AC125" t="s">
        <v>2794</v>
      </c>
      <c r="AD125">
        <v>634.13</v>
      </c>
      <c r="AE125">
        <v>180.77999999999997</v>
      </c>
      <c r="AF125">
        <v>0.28508350022865969</v>
      </c>
      <c r="AG125" t="s">
        <v>2824</v>
      </c>
      <c r="AH125">
        <v>2024</v>
      </c>
      <c r="AI125" t="s">
        <v>2836</v>
      </c>
    </row>
    <row r="126" spans="1:35">
      <c r="A126" t="s">
        <v>482</v>
      </c>
      <c r="B126">
        <v>45494</v>
      </c>
      <c r="C126">
        <v>45497</v>
      </c>
      <c r="D126" t="s">
        <v>483</v>
      </c>
      <c r="E126" t="s">
        <v>47</v>
      </c>
      <c r="F126" t="s">
        <v>90</v>
      </c>
      <c r="G126" t="s">
        <v>54</v>
      </c>
      <c r="H126" t="s">
        <v>175</v>
      </c>
      <c r="I126" t="s">
        <v>176</v>
      </c>
      <c r="J126" t="s">
        <v>74</v>
      </c>
      <c r="K126" t="s">
        <v>80</v>
      </c>
      <c r="L126" t="s">
        <v>484</v>
      </c>
      <c r="M126" t="s">
        <v>59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32</v>
      </c>
      <c r="U126" t="s">
        <v>33</v>
      </c>
      <c r="V126" t="s">
        <v>2834</v>
      </c>
      <c r="W126" t="s">
        <v>2834</v>
      </c>
      <c r="X126" t="s">
        <v>2834</v>
      </c>
      <c r="Y126" t="s">
        <v>2834</v>
      </c>
      <c r="Z126">
        <v>3</v>
      </c>
      <c r="AA126" t="s">
        <v>2789</v>
      </c>
      <c r="AB126">
        <v>-0.15</v>
      </c>
      <c r="AC126" t="s">
        <v>2795</v>
      </c>
      <c r="AD126">
        <v>4813.3709999999992</v>
      </c>
      <c r="AE126">
        <v>1369.6309999999994</v>
      </c>
      <c r="AF126">
        <v>0.28454715001191466</v>
      </c>
      <c r="AG126" t="s">
        <v>2826</v>
      </c>
      <c r="AH126">
        <v>2024</v>
      </c>
      <c r="AI126" t="s">
        <v>2836</v>
      </c>
    </row>
    <row r="127" spans="1:35">
      <c r="A127" t="s">
        <v>485</v>
      </c>
      <c r="B127">
        <v>45855</v>
      </c>
      <c r="C127">
        <v>45856</v>
      </c>
      <c r="D127" t="s">
        <v>486</v>
      </c>
      <c r="E127" t="s">
        <v>79</v>
      </c>
      <c r="F127" t="s">
        <v>37</v>
      </c>
      <c r="G127" t="s">
        <v>63</v>
      </c>
      <c r="H127" t="s">
        <v>26</v>
      </c>
      <c r="I127" t="s">
        <v>109</v>
      </c>
      <c r="J127" t="s">
        <v>41</v>
      </c>
      <c r="K127" t="s">
        <v>42</v>
      </c>
      <c r="L127" t="s">
        <v>487</v>
      </c>
      <c r="M127" t="s">
        <v>44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102</v>
      </c>
      <c r="U127" t="s">
        <v>103</v>
      </c>
      <c r="V127" t="s">
        <v>2834</v>
      </c>
      <c r="W127" t="s">
        <v>2834</v>
      </c>
      <c r="X127" t="s">
        <v>2834</v>
      </c>
      <c r="Y127" t="s">
        <v>2834</v>
      </c>
      <c r="Z127">
        <v>1</v>
      </c>
      <c r="AA127" t="s">
        <v>2789</v>
      </c>
      <c r="AB127">
        <v>0.25</v>
      </c>
      <c r="AC127" t="s">
        <v>2794</v>
      </c>
      <c r="AD127">
        <v>14558.715</v>
      </c>
      <c r="AE127">
        <v>4967.2350000000006</v>
      </c>
      <c r="AF127">
        <v>0.34118636157105903</v>
      </c>
      <c r="AG127" t="s">
        <v>2826</v>
      </c>
      <c r="AH127">
        <v>2025</v>
      </c>
      <c r="AI127" t="s">
        <v>2835</v>
      </c>
    </row>
    <row r="128" spans="1:35">
      <c r="A128" t="s">
        <v>488</v>
      </c>
      <c r="B128">
        <v>45924</v>
      </c>
      <c r="C128">
        <v>45926</v>
      </c>
      <c r="D128" t="s">
        <v>489</v>
      </c>
      <c r="E128" t="s">
        <v>114</v>
      </c>
      <c r="F128" t="s">
        <v>90</v>
      </c>
      <c r="G128" t="s">
        <v>25</v>
      </c>
      <c r="H128" t="s">
        <v>350</v>
      </c>
      <c r="I128" t="s">
        <v>351</v>
      </c>
      <c r="J128" t="s">
        <v>74</v>
      </c>
      <c r="K128" t="s">
        <v>80</v>
      </c>
      <c r="L128" t="s">
        <v>490</v>
      </c>
      <c r="M128" t="s">
        <v>59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32</v>
      </c>
      <c r="U128" t="s">
        <v>33</v>
      </c>
      <c r="V128" t="s">
        <v>2834</v>
      </c>
      <c r="W128" t="s">
        <v>2834</v>
      </c>
      <c r="X128" t="s">
        <v>2834</v>
      </c>
      <c r="Y128" t="s">
        <v>2834</v>
      </c>
      <c r="Z128">
        <v>2</v>
      </c>
      <c r="AA128" t="s">
        <v>2789</v>
      </c>
      <c r="AB128">
        <v>0.1</v>
      </c>
      <c r="AC128" t="s">
        <v>2794</v>
      </c>
      <c r="AD128">
        <v>4303.4220000000005</v>
      </c>
      <c r="AE128">
        <v>1734.8520000000003</v>
      </c>
      <c r="AF128">
        <v>0.40313313451481175</v>
      </c>
      <c r="AG128" t="s">
        <v>2828</v>
      </c>
      <c r="AH128">
        <v>2025</v>
      </c>
      <c r="AI128" t="s">
        <v>2835</v>
      </c>
    </row>
    <row r="129" spans="1:35">
      <c r="A129" t="s">
        <v>491</v>
      </c>
      <c r="B129">
        <v>45687</v>
      </c>
      <c r="C129">
        <v>45683</v>
      </c>
      <c r="D129" t="s">
        <v>492</v>
      </c>
      <c r="E129" t="s">
        <v>114</v>
      </c>
      <c r="F129" t="s">
        <v>90</v>
      </c>
      <c r="G129" t="s">
        <v>63</v>
      </c>
      <c r="H129" t="s">
        <v>72</v>
      </c>
      <c r="I129" t="s">
        <v>73</v>
      </c>
      <c r="J129" t="s">
        <v>28</v>
      </c>
      <c r="K129" t="s">
        <v>124</v>
      </c>
      <c r="L129" t="s">
        <v>493</v>
      </c>
      <c r="M129" t="s">
        <v>31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32</v>
      </c>
      <c r="U129" t="s">
        <v>33</v>
      </c>
      <c r="V129" t="s">
        <v>2834</v>
      </c>
      <c r="W129" t="s">
        <v>2834</v>
      </c>
      <c r="X129" t="s">
        <v>2834</v>
      </c>
      <c r="Y129" t="s">
        <v>2837</v>
      </c>
      <c r="Z129">
        <v>-4</v>
      </c>
      <c r="AA129" t="s">
        <v>2789</v>
      </c>
      <c r="AB129">
        <v>0.05</v>
      </c>
      <c r="AC129" t="s">
        <v>2794</v>
      </c>
      <c r="AD129">
        <v>5774.67</v>
      </c>
      <c r="AE129">
        <v>2256.31</v>
      </c>
      <c r="AF129">
        <v>0.39072535746631409</v>
      </c>
      <c r="AG129" t="s">
        <v>2820</v>
      </c>
      <c r="AH129">
        <v>2025</v>
      </c>
      <c r="AI129" t="s">
        <v>2836</v>
      </c>
    </row>
    <row r="130" spans="1:35">
      <c r="A130" t="s">
        <v>494</v>
      </c>
      <c r="B130">
        <v>45639</v>
      </c>
      <c r="C130">
        <v>45642</v>
      </c>
      <c r="D130" t="s">
        <v>495</v>
      </c>
      <c r="E130" t="s">
        <v>79</v>
      </c>
      <c r="F130" t="s">
        <v>37</v>
      </c>
      <c r="G130" t="s">
        <v>38</v>
      </c>
      <c r="H130" t="s">
        <v>39</v>
      </c>
      <c r="I130" t="s">
        <v>40</v>
      </c>
      <c r="J130" t="s">
        <v>41</v>
      </c>
      <c r="K130" t="s">
        <v>57</v>
      </c>
      <c r="L130" t="s">
        <v>496</v>
      </c>
      <c r="M130" t="s">
        <v>59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32</v>
      </c>
      <c r="U130" t="s">
        <v>103</v>
      </c>
      <c r="V130" t="s">
        <v>2834</v>
      </c>
      <c r="W130" t="s">
        <v>2834</v>
      </c>
      <c r="X130" t="s">
        <v>2834</v>
      </c>
      <c r="Y130" t="s">
        <v>2834</v>
      </c>
      <c r="Z130">
        <v>3</v>
      </c>
      <c r="AA130" t="s">
        <v>2789</v>
      </c>
      <c r="AB130">
        <v>0.05</v>
      </c>
      <c r="AC130" t="s">
        <v>2794</v>
      </c>
      <c r="AD130">
        <v>4386.3874999999998</v>
      </c>
      <c r="AE130">
        <v>1019.5074999999997</v>
      </c>
      <c r="AF130">
        <v>0.2324253158208206</v>
      </c>
      <c r="AG130" t="s">
        <v>2831</v>
      </c>
      <c r="AH130">
        <v>2024</v>
      </c>
      <c r="AI130" t="s">
        <v>2835</v>
      </c>
    </row>
    <row r="131" spans="1:35">
      <c r="A131" t="s">
        <v>497</v>
      </c>
      <c r="B131">
        <v>45492</v>
      </c>
      <c r="C131">
        <v>45498</v>
      </c>
      <c r="D131" t="s">
        <v>498</v>
      </c>
      <c r="E131" t="s">
        <v>47</v>
      </c>
      <c r="F131" t="s">
        <v>37</v>
      </c>
      <c r="G131" t="s">
        <v>63</v>
      </c>
      <c r="H131" t="s">
        <v>190</v>
      </c>
      <c r="I131" t="s">
        <v>191</v>
      </c>
      <c r="J131" t="s">
        <v>28</v>
      </c>
      <c r="K131" t="s">
        <v>153</v>
      </c>
      <c r="L131" t="s">
        <v>499</v>
      </c>
      <c r="M131" t="s">
        <v>59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32</v>
      </c>
      <c r="U131" t="s">
        <v>33</v>
      </c>
      <c r="V131" t="s">
        <v>2834</v>
      </c>
      <c r="W131" t="s">
        <v>2834</v>
      </c>
      <c r="X131" t="s">
        <v>2834</v>
      </c>
      <c r="Y131" t="s">
        <v>2834</v>
      </c>
      <c r="Z131">
        <v>6</v>
      </c>
      <c r="AA131" t="s">
        <v>2789</v>
      </c>
      <c r="AB131">
        <v>0.05</v>
      </c>
      <c r="AC131" t="s">
        <v>2794</v>
      </c>
      <c r="AD131">
        <v>18229.5785</v>
      </c>
      <c r="AE131">
        <v>3090.4285</v>
      </c>
      <c r="AF131">
        <v>0.16952824773211295</v>
      </c>
      <c r="AG131" t="s">
        <v>2826</v>
      </c>
      <c r="AH131">
        <v>2024</v>
      </c>
      <c r="AI131" t="s">
        <v>2835</v>
      </c>
    </row>
    <row r="132" spans="1:35">
      <c r="A132" t="s">
        <v>500</v>
      </c>
      <c r="B132">
        <v>45318</v>
      </c>
      <c r="C132">
        <v>45324</v>
      </c>
      <c r="D132" t="s">
        <v>501</v>
      </c>
      <c r="E132" t="s">
        <v>53</v>
      </c>
      <c r="F132" t="s">
        <v>24</v>
      </c>
      <c r="G132" t="s">
        <v>63</v>
      </c>
      <c r="H132" t="s">
        <v>180</v>
      </c>
      <c r="I132" t="s">
        <v>181</v>
      </c>
      <c r="J132" t="s">
        <v>28</v>
      </c>
      <c r="K132" t="s">
        <v>91</v>
      </c>
      <c r="L132" t="s">
        <v>502</v>
      </c>
      <c r="M132" t="s">
        <v>44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111</v>
      </c>
      <c r="U132" t="s">
        <v>68</v>
      </c>
      <c r="V132" t="s">
        <v>2834</v>
      </c>
      <c r="W132" t="s">
        <v>2834</v>
      </c>
      <c r="X132" t="s">
        <v>2834</v>
      </c>
      <c r="Y132" t="s">
        <v>2834</v>
      </c>
      <c r="Z132">
        <v>6</v>
      </c>
      <c r="AA132" t="s">
        <v>2789</v>
      </c>
      <c r="AB132">
        <v>0.2</v>
      </c>
      <c r="AC132" t="s">
        <v>2794</v>
      </c>
      <c r="AD132">
        <v>873.68</v>
      </c>
      <c r="AE132">
        <v>211.95999999999992</v>
      </c>
      <c r="AF132">
        <v>0.24260598846259493</v>
      </c>
      <c r="AG132" t="s">
        <v>2820</v>
      </c>
      <c r="AH132">
        <v>2024</v>
      </c>
      <c r="AI132" t="s">
        <v>2835</v>
      </c>
    </row>
    <row r="133" spans="1:35">
      <c r="A133" t="s">
        <v>503</v>
      </c>
      <c r="B133">
        <v>45929</v>
      </c>
      <c r="C133">
        <v>45934</v>
      </c>
      <c r="D133" t="s">
        <v>504</v>
      </c>
      <c r="E133" t="s">
        <v>62</v>
      </c>
      <c r="F133" t="s">
        <v>95</v>
      </c>
      <c r="G133" t="s">
        <v>38</v>
      </c>
      <c r="H133" t="s">
        <v>228</v>
      </c>
      <c r="I133" t="s">
        <v>229</v>
      </c>
      <c r="J133" t="s">
        <v>28</v>
      </c>
      <c r="K133" t="s">
        <v>29</v>
      </c>
      <c r="L133" t="s">
        <v>505</v>
      </c>
      <c r="M133" t="s">
        <v>44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32</v>
      </c>
      <c r="U133" t="s">
        <v>33</v>
      </c>
      <c r="V133" t="s">
        <v>2834</v>
      </c>
      <c r="W133" t="s">
        <v>2834</v>
      </c>
      <c r="X133" t="s">
        <v>2834</v>
      </c>
      <c r="Y133" t="s">
        <v>2834</v>
      </c>
      <c r="Z133">
        <v>5</v>
      </c>
      <c r="AA133" t="s">
        <v>2789</v>
      </c>
      <c r="AB133">
        <v>0.2</v>
      </c>
      <c r="AC133" t="s">
        <v>2794</v>
      </c>
      <c r="AD133">
        <v>2692.152</v>
      </c>
      <c r="AE133">
        <v>647.66200000000003</v>
      </c>
      <c r="AF133">
        <v>0.24057408348414205</v>
      </c>
      <c r="AG133" t="s">
        <v>2828</v>
      </c>
      <c r="AH133">
        <v>2025</v>
      </c>
      <c r="AI133" t="s">
        <v>2835</v>
      </c>
    </row>
    <row r="134" spans="1:35">
      <c r="A134" t="s">
        <v>506</v>
      </c>
      <c r="B134">
        <v>45600</v>
      </c>
      <c r="C134">
        <v>45600</v>
      </c>
      <c r="D134" t="s">
        <v>507</v>
      </c>
      <c r="E134" t="s">
        <v>264</v>
      </c>
      <c r="F134" t="s">
        <v>90</v>
      </c>
      <c r="G134" t="s">
        <v>38</v>
      </c>
      <c r="H134" t="s">
        <v>166</v>
      </c>
      <c r="I134" t="s">
        <v>167</v>
      </c>
      <c r="J134" t="s">
        <v>74</v>
      </c>
      <c r="K134" t="s">
        <v>274</v>
      </c>
      <c r="L134" t="s">
        <v>508</v>
      </c>
      <c r="M134" t="s">
        <v>50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155</v>
      </c>
      <c r="U134" t="s">
        <v>68</v>
      </c>
      <c r="V134" t="s">
        <v>2834</v>
      </c>
      <c r="W134" t="s">
        <v>2834</v>
      </c>
      <c r="X134" t="s">
        <v>2834</v>
      </c>
      <c r="Y134" t="s">
        <v>2834</v>
      </c>
      <c r="Z134">
        <v>0</v>
      </c>
      <c r="AA134" t="s">
        <v>2789</v>
      </c>
      <c r="AB134">
        <v>0</v>
      </c>
      <c r="AC134" t="s">
        <v>2794</v>
      </c>
      <c r="AD134">
        <v>1066.1600000000001</v>
      </c>
      <c r="AE134">
        <v>409.86000000000013</v>
      </c>
      <c r="AF134">
        <v>0.38442635251744589</v>
      </c>
      <c r="AG134" t="s">
        <v>2830</v>
      </c>
      <c r="AH134">
        <v>2024</v>
      </c>
      <c r="AI134" t="s">
        <v>2835</v>
      </c>
    </row>
    <row r="135" spans="1:35">
      <c r="A135" t="s">
        <v>509</v>
      </c>
      <c r="B135">
        <v>45639</v>
      </c>
      <c r="C135">
        <v>45644</v>
      </c>
      <c r="D135" t="s">
        <v>510</v>
      </c>
      <c r="E135" t="s">
        <v>23</v>
      </c>
      <c r="F135" t="s">
        <v>24</v>
      </c>
      <c r="G135" t="s">
        <v>63</v>
      </c>
      <c r="H135" t="s">
        <v>190</v>
      </c>
      <c r="I135" t="s">
        <v>191</v>
      </c>
      <c r="J135" t="s">
        <v>74</v>
      </c>
      <c r="K135" t="s">
        <v>171</v>
      </c>
      <c r="L135" t="s">
        <v>511</v>
      </c>
      <c r="M135" t="s">
        <v>31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32</v>
      </c>
      <c r="U135" t="s">
        <v>33</v>
      </c>
      <c r="V135" t="s">
        <v>2834</v>
      </c>
      <c r="W135" t="s">
        <v>2834</v>
      </c>
      <c r="X135" t="s">
        <v>2834</v>
      </c>
      <c r="Y135" t="s">
        <v>2834</v>
      </c>
      <c r="Z135">
        <v>5</v>
      </c>
      <c r="AA135" t="s">
        <v>2789</v>
      </c>
      <c r="AB135">
        <v>0.15</v>
      </c>
      <c r="AC135" t="s">
        <v>2794</v>
      </c>
      <c r="AD135">
        <v>22930.62</v>
      </c>
      <c r="AE135">
        <v>6055.07</v>
      </c>
      <c r="AF135">
        <v>0.26406045715292475</v>
      </c>
      <c r="AG135" t="s">
        <v>2831</v>
      </c>
      <c r="AH135">
        <v>2024</v>
      </c>
      <c r="AI135" t="s">
        <v>2835</v>
      </c>
    </row>
    <row r="136" spans="1:35">
      <c r="A136" t="s">
        <v>512</v>
      </c>
      <c r="B136">
        <v>45852</v>
      </c>
      <c r="C136">
        <v>45852</v>
      </c>
      <c r="D136" t="s">
        <v>513</v>
      </c>
      <c r="E136" t="s">
        <v>71</v>
      </c>
      <c r="F136" t="s">
        <v>95</v>
      </c>
      <c r="G136" t="s">
        <v>38</v>
      </c>
      <c r="H136" t="s">
        <v>99</v>
      </c>
      <c r="I136" t="s">
        <v>100</v>
      </c>
      <c r="J136" t="s">
        <v>41</v>
      </c>
      <c r="K136" t="s">
        <v>158</v>
      </c>
      <c r="L136" t="s">
        <v>514</v>
      </c>
      <c r="M136" t="s">
        <v>2791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111</v>
      </c>
      <c r="U136" t="s">
        <v>68</v>
      </c>
      <c r="V136" t="s">
        <v>2834</v>
      </c>
      <c r="W136" t="s">
        <v>2834</v>
      </c>
      <c r="X136" t="s">
        <v>2834</v>
      </c>
      <c r="Y136" t="s">
        <v>2834</v>
      </c>
      <c r="Z136">
        <v>0</v>
      </c>
      <c r="AA136" t="s">
        <v>2789</v>
      </c>
      <c r="AB136">
        <v>0.25</v>
      </c>
      <c r="AC136" t="s">
        <v>2794</v>
      </c>
      <c r="AD136">
        <v>1436.625</v>
      </c>
      <c r="AE136">
        <v>524.10500000000002</v>
      </c>
      <c r="AF136">
        <v>0.36481684503610895</v>
      </c>
      <c r="AG136" t="s">
        <v>2826</v>
      </c>
      <c r="AH136">
        <v>2025</v>
      </c>
      <c r="AI136" t="s">
        <v>2838</v>
      </c>
    </row>
    <row r="137" spans="1:35">
      <c r="A137" t="s">
        <v>515</v>
      </c>
      <c r="B137">
        <v>45893</v>
      </c>
      <c r="C137">
        <v>45893</v>
      </c>
      <c r="D137" t="s">
        <v>516</v>
      </c>
      <c r="E137" t="s">
        <v>162</v>
      </c>
      <c r="F137" t="s">
        <v>37</v>
      </c>
      <c r="G137" t="s">
        <v>54</v>
      </c>
      <c r="H137" t="s">
        <v>185</v>
      </c>
      <c r="I137" t="s">
        <v>186</v>
      </c>
      <c r="J137" t="s">
        <v>41</v>
      </c>
      <c r="K137" t="s">
        <v>158</v>
      </c>
      <c r="L137" t="s">
        <v>517</v>
      </c>
      <c r="M137" t="s">
        <v>59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32</v>
      </c>
      <c r="U137" t="s">
        <v>33</v>
      </c>
      <c r="V137" t="s">
        <v>2834</v>
      </c>
      <c r="W137" t="s">
        <v>2834</v>
      </c>
      <c r="X137" t="s">
        <v>2834</v>
      </c>
      <c r="Y137" t="s">
        <v>2834</v>
      </c>
      <c r="Z137">
        <v>0</v>
      </c>
      <c r="AA137" t="s">
        <v>2789</v>
      </c>
      <c r="AB137">
        <v>0</v>
      </c>
      <c r="AC137" t="s">
        <v>2794</v>
      </c>
      <c r="AD137">
        <v>3424.78</v>
      </c>
      <c r="AE137">
        <v>1473.3300000000002</v>
      </c>
      <c r="AF137">
        <v>0.43019697615613267</v>
      </c>
      <c r="AG137" t="s">
        <v>2827</v>
      </c>
      <c r="AH137">
        <v>2025</v>
      </c>
      <c r="AI137" t="s">
        <v>2835</v>
      </c>
    </row>
    <row r="138" spans="1:35">
      <c r="A138" t="s">
        <v>518</v>
      </c>
      <c r="B138">
        <v>45697</v>
      </c>
      <c r="C138">
        <v>45703</v>
      </c>
      <c r="D138" t="s">
        <v>519</v>
      </c>
      <c r="E138" t="s">
        <v>36</v>
      </c>
      <c r="F138" t="s">
        <v>95</v>
      </c>
      <c r="G138" t="s">
        <v>38</v>
      </c>
      <c r="H138" t="s">
        <v>228</v>
      </c>
      <c r="I138" t="s">
        <v>229</v>
      </c>
      <c r="J138" t="s">
        <v>28</v>
      </c>
      <c r="K138" t="s">
        <v>153</v>
      </c>
      <c r="L138" t="s">
        <v>520</v>
      </c>
      <c r="M138" t="s">
        <v>59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32</v>
      </c>
      <c r="U138" t="s">
        <v>33</v>
      </c>
      <c r="V138" t="s">
        <v>2834</v>
      </c>
      <c r="W138" t="s">
        <v>2834</v>
      </c>
      <c r="X138" t="s">
        <v>2834</v>
      </c>
      <c r="Y138" t="s">
        <v>2834</v>
      </c>
      <c r="Z138">
        <v>6</v>
      </c>
      <c r="AA138" t="s">
        <v>2789</v>
      </c>
      <c r="AB138">
        <v>0.2</v>
      </c>
      <c r="AC138" t="s">
        <v>2794</v>
      </c>
      <c r="AD138">
        <v>31178.376000000004</v>
      </c>
      <c r="AE138">
        <v>9757.2860000000037</v>
      </c>
      <c r="AF138">
        <v>0.31295042435821552</v>
      </c>
      <c r="AG138" t="s">
        <v>2821</v>
      </c>
      <c r="AH138">
        <v>2025</v>
      </c>
      <c r="AI138" t="s">
        <v>2835</v>
      </c>
    </row>
    <row r="139" spans="1:35">
      <c r="A139" t="s">
        <v>521</v>
      </c>
      <c r="B139">
        <v>45666</v>
      </c>
      <c r="C139">
        <v>45666</v>
      </c>
      <c r="D139" t="s">
        <v>522</v>
      </c>
      <c r="E139" t="s">
        <v>132</v>
      </c>
      <c r="F139" t="s">
        <v>37</v>
      </c>
      <c r="G139" t="s">
        <v>25</v>
      </c>
      <c r="H139" t="s">
        <v>26</v>
      </c>
      <c r="I139" t="s">
        <v>27</v>
      </c>
      <c r="J139" t="s">
        <v>41</v>
      </c>
      <c r="K139" t="s">
        <v>66</v>
      </c>
      <c r="L139" t="s">
        <v>523</v>
      </c>
      <c r="M139" t="s">
        <v>44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32</v>
      </c>
      <c r="U139" t="s">
        <v>33</v>
      </c>
      <c r="V139" t="s">
        <v>2834</v>
      </c>
      <c r="W139" t="s">
        <v>2834</v>
      </c>
      <c r="X139" t="s">
        <v>2834</v>
      </c>
      <c r="Y139" t="s">
        <v>2834</v>
      </c>
      <c r="Z139">
        <v>0</v>
      </c>
      <c r="AA139" t="s">
        <v>2789</v>
      </c>
      <c r="AB139">
        <v>0.1</v>
      </c>
      <c r="AC139" t="s">
        <v>2794</v>
      </c>
      <c r="AD139">
        <v>19202.904000000002</v>
      </c>
      <c r="AE139">
        <v>3676.2840000000015</v>
      </c>
      <c r="AF139">
        <v>0.19144416906942829</v>
      </c>
      <c r="AG139" t="s">
        <v>2820</v>
      </c>
      <c r="AH139">
        <v>2025</v>
      </c>
      <c r="AI139" t="s">
        <v>2835</v>
      </c>
    </row>
    <row r="140" spans="1:35">
      <c r="A140" t="s">
        <v>524</v>
      </c>
      <c r="B140">
        <v>45311</v>
      </c>
      <c r="C140">
        <v>45317</v>
      </c>
      <c r="D140" t="s">
        <v>525</v>
      </c>
      <c r="E140" t="s">
        <v>162</v>
      </c>
      <c r="F140" t="s">
        <v>95</v>
      </c>
      <c r="G140" t="s">
        <v>38</v>
      </c>
      <c r="H140" t="s">
        <v>228</v>
      </c>
      <c r="I140" t="s">
        <v>229</v>
      </c>
      <c r="J140" t="s">
        <v>74</v>
      </c>
      <c r="K140" t="s">
        <v>274</v>
      </c>
      <c r="L140" t="s">
        <v>526</v>
      </c>
      <c r="M140" t="s">
        <v>59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32</v>
      </c>
      <c r="U140" t="s">
        <v>33</v>
      </c>
      <c r="V140" t="s">
        <v>2834</v>
      </c>
      <c r="W140" t="s">
        <v>2834</v>
      </c>
      <c r="X140" t="s">
        <v>2834</v>
      </c>
      <c r="Y140" t="s">
        <v>2834</v>
      </c>
      <c r="Z140">
        <v>6</v>
      </c>
      <c r="AA140" t="s">
        <v>2789</v>
      </c>
      <c r="AB140">
        <v>0.25</v>
      </c>
      <c r="AC140" t="s">
        <v>2794</v>
      </c>
      <c r="AD140">
        <v>24018.300000000003</v>
      </c>
      <c r="AE140">
        <v>9947.5200000000023</v>
      </c>
      <c r="AF140">
        <v>0.41416419979765434</v>
      </c>
      <c r="AG140" t="s">
        <v>2820</v>
      </c>
      <c r="AH140">
        <v>2024</v>
      </c>
      <c r="AI140" t="s">
        <v>2835</v>
      </c>
    </row>
    <row r="141" spans="1:35">
      <c r="A141" t="s">
        <v>527</v>
      </c>
      <c r="B141">
        <v>45718</v>
      </c>
      <c r="C141">
        <v>45723</v>
      </c>
      <c r="D141" t="s">
        <v>528</v>
      </c>
      <c r="E141" t="s">
        <v>79</v>
      </c>
      <c r="F141" t="s">
        <v>95</v>
      </c>
      <c r="G141" t="s">
        <v>54</v>
      </c>
      <c r="H141" t="s">
        <v>175</v>
      </c>
      <c r="I141" t="s">
        <v>176</v>
      </c>
      <c r="J141" t="s">
        <v>28</v>
      </c>
      <c r="K141" t="s">
        <v>91</v>
      </c>
      <c r="L141" t="s">
        <v>529</v>
      </c>
      <c r="M141" t="s">
        <v>59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32</v>
      </c>
      <c r="U141" t="s">
        <v>33</v>
      </c>
      <c r="V141" t="s">
        <v>2834</v>
      </c>
      <c r="W141" t="s">
        <v>2834</v>
      </c>
      <c r="X141" t="s">
        <v>2834</v>
      </c>
      <c r="Y141" t="s">
        <v>2834</v>
      </c>
      <c r="Z141">
        <v>5</v>
      </c>
      <c r="AA141" t="s">
        <v>2789</v>
      </c>
      <c r="AB141">
        <v>0</v>
      </c>
      <c r="AC141" t="s">
        <v>2794</v>
      </c>
      <c r="AD141">
        <v>10301.040000000001</v>
      </c>
      <c r="AE141">
        <v>3736.9800000000005</v>
      </c>
      <c r="AF141">
        <v>0.3627769623261341</v>
      </c>
      <c r="AG141" t="s">
        <v>2822</v>
      </c>
      <c r="AH141">
        <v>2025</v>
      </c>
      <c r="AI141" t="s">
        <v>2835</v>
      </c>
    </row>
    <row r="142" spans="1:35">
      <c r="A142" t="s">
        <v>530</v>
      </c>
      <c r="B142">
        <v>45443</v>
      </c>
      <c r="C142">
        <v>45444</v>
      </c>
      <c r="D142" t="s">
        <v>531</v>
      </c>
      <c r="E142" t="s">
        <v>36</v>
      </c>
      <c r="F142" t="s">
        <v>90</v>
      </c>
      <c r="G142" t="s">
        <v>54</v>
      </c>
      <c r="H142" t="s">
        <v>175</v>
      </c>
      <c r="I142" t="s">
        <v>176</v>
      </c>
      <c r="J142" t="s">
        <v>41</v>
      </c>
      <c r="K142" t="s">
        <v>158</v>
      </c>
      <c r="L142" t="s">
        <v>532</v>
      </c>
      <c r="M142" t="s">
        <v>44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32</v>
      </c>
      <c r="U142" t="s">
        <v>33</v>
      </c>
      <c r="V142" t="s">
        <v>2834</v>
      </c>
      <c r="W142" t="s">
        <v>2834</v>
      </c>
      <c r="X142" t="s">
        <v>2834</v>
      </c>
      <c r="Y142" t="s">
        <v>2834</v>
      </c>
      <c r="Z142">
        <v>1</v>
      </c>
      <c r="AA142" t="s">
        <v>2789</v>
      </c>
      <c r="AB142">
        <v>0</v>
      </c>
      <c r="AC142" t="s">
        <v>2794</v>
      </c>
      <c r="AD142">
        <v>8743.6500000000015</v>
      </c>
      <c r="AE142">
        <v>2139.8900000000012</v>
      </c>
      <c r="AF142">
        <v>0.24473646589239059</v>
      </c>
      <c r="AG142" t="s">
        <v>2824</v>
      </c>
      <c r="AH142">
        <v>2024</v>
      </c>
      <c r="AI142" t="s">
        <v>2835</v>
      </c>
    </row>
    <row r="143" spans="1:35">
      <c r="A143" t="s">
        <v>533</v>
      </c>
      <c r="B143">
        <v>45374</v>
      </c>
      <c r="C143">
        <v>45380</v>
      </c>
      <c r="D143" t="s">
        <v>534</v>
      </c>
      <c r="E143" t="s">
        <v>114</v>
      </c>
      <c r="F143" t="s">
        <v>90</v>
      </c>
      <c r="G143" t="s">
        <v>25</v>
      </c>
      <c r="H143" t="s">
        <v>350</v>
      </c>
      <c r="I143" t="s">
        <v>351</v>
      </c>
      <c r="J143" t="s">
        <v>41</v>
      </c>
      <c r="K143" t="s">
        <v>158</v>
      </c>
      <c r="L143" t="s">
        <v>535</v>
      </c>
      <c r="M143" t="s">
        <v>44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32</v>
      </c>
      <c r="U143" t="s">
        <v>103</v>
      </c>
      <c r="V143" t="s">
        <v>2834</v>
      </c>
      <c r="W143" t="s">
        <v>2834</v>
      </c>
      <c r="X143" t="s">
        <v>2834</v>
      </c>
      <c r="Y143" t="s">
        <v>2834</v>
      </c>
      <c r="Z143">
        <v>6</v>
      </c>
      <c r="AA143" t="s">
        <v>2789</v>
      </c>
      <c r="AB143">
        <v>0.1</v>
      </c>
      <c r="AC143" t="s">
        <v>2794</v>
      </c>
      <c r="AD143">
        <v>3996.027</v>
      </c>
      <c r="AE143">
        <v>1136.5169999999998</v>
      </c>
      <c r="AF143">
        <v>0.28441174196270441</v>
      </c>
      <c r="AG143" t="s">
        <v>2822</v>
      </c>
      <c r="AH143">
        <v>2024</v>
      </c>
      <c r="AI143" t="s">
        <v>2835</v>
      </c>
    </row>
    <row r="144" spans="1:35">
      <c r="A144" t="s">
        <v>536</v>
      </c>
      <c r="B144">
        <v>45381</v>
      </c>
      <c r="C144">
        <v>45377</v>
      </c>
      <c r="D144" t="s">
        <v>537</v>
      </c>
      <c r="E144" t="s">
        <v>89</v>
      </c>
      <c r="F144" t="s">
        <v>95</v>
      </c>
      <c r="G144" t="s">
        <v>25</v>
      </c>
      <c r="H144" t="s">
        <v>26</v>
      </c>
      <c r="I144" t="s">
        <v>27</v>
      </c>
      <c r="J144" t="s">
        <v>74</v>
      </c>
      <c r="K144" t="s">
        <v>171</v>
      </c>
      <c r="L144" t="s">
        <v>538</v>
      </c>
      <c r="M144" t="s">
        <v>31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32</v>
      </c>
      <c r="U144" t="s">
        <v>33</v>
      </c>
      <c r="V144" t="s">
        <v>2834</v>
      </c>
      <c r="W144" t="s">
        <v>2834</v>
      </c>
      <c r="X144" t="s">
        <v>2834</v>
      </c>
      <c r="Y144" t="s">
        <v>2837</v>
      </c>
      <c r="Z144">
        <v>-4</v>
      </c>
      <c r="AA144" t="s">
        <v>2790</v>
      </c>
      <c r="AB144">
        <v>0.15</v>
      </c>
      <c r="AC144" t="s">
        <v>2794</v>
      </c>
      <c r="AD144">
        <v>3857.0449999999996</v>
      </c>
      <c r="AE144">
        <v>1087.7849999999994</v>
      </c>
      <c r="AF144">
        <v>0.28202548842442843</v>
      </c>
      <c r="AG144" t="s">
        <v>2822</v>
      </c>
      <c r="AH144">
        <v>2024</v>
      </c>
      <c r="AI144" t="s">
        <v>2836</v>
      </c>
    </row>
    <row r="145" spans="1:35">
      <c r="A145" t="s">
        <v>539</v>
      </c>
      <c r="B145">
        <v>45375</v>
      </c>
      <c r="C145">
        <v>45377</v>
      </c>
      <c r="D145" t="s">
        <v>540</v>
      </c>
      <c r="E145" t="s">
        <v>114</v>
      </c>
      <c r="F145" t="s">
        <v>24</v>
      </c>
      <c r="G145" t="s">
        <v>63</v>
      </c>
      <c r="H145" t="s">
        <v>180</v>
      </c>
      <c r="I145" t="s">
        <v>181</v>
      </c>
      <c r="J145" t="s">
        <v>28</v>
      </c>
      <c r="K145" t="s">
        <v>29</v>
      </c>
      <c r="L145" t="s">
        <v>541</v>
      </c>
      <c r="M145" t="s">
        <v>31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32</v>
      </c>
      <c r="U145" t="s">
        <v>103</v>
      </c>
      <c r="V145" t="s">
        <v>2834</v>
      </c>
      <c r="W145" t="s">
        <v>2834</v>
      </c>
      <c r="X145" t="s">
        <v>2834</v>
      </c>
      <c r="Y145" t="s">
        <v>2834</v>
      </c>
      <c r="Z145">
        <v>2</v>
      </c>
      <c r="AA145" t="s">
        <v>2789</v>
      </c>
      <c r="AB145">
        <v>0.1</v>
      </c>
      <c r="AC145" t="s">
        <v>2794</v>
      </c>
      <c r="AD145">
        <v>3068.55</v>
      </c>
      <c r="AE145">
        <v>1152.3900000000001</v>
      </c>
      <c r="AF145">
        <v>0.3755487119323459</v>
      </c>
      <c r="AG145" t="s">
        <v>2822</v>
      </c>
      <c r="AH145">
        <v>2024</v>
      </c>
      <c r="AI145" t="s">
        <v>2835</v>
      </c>
    </row>
    <row r="146" spans="1:35">
      <c r="A146" t="s">
        <v>542</v>
      </c>
      <c r="B146">
        <v>45450</v>
      </c>
      <c r="C146">
        <v>45458</v>
      </c>
      <c r="D146" t="s">
        <v>543</v>
      </c>
      <c r="E146" t="s">
        <v>264</v>
      </c>
      <c r="F146" t="s">
        <v>37</v>
      </c>
      <c r="G146" t="s">
        <v>54</v>
      </c>
      <c r="H146" t="s">
        <v>55</v>
      </c>
      <c r="I146" t="s">
        <v>56</v>
      </c>
      <c r="J146" t="s">
        <v>74</v>
      </c>
      <c r="K146" t="s">
        <v>75</v>
      </c>
      <c r="L146" t="s">
        <v>544</v>
      </c>
      <c r="M146" t="s">
        <v>50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102</v>
      </c>
      <c r="U146" t="s">
        <v>103</v>
      </c>
      <c r="V146" t="s">
        <v>2834</v>
      </c>
      <c r="W146" t="s">
        <v>2834</v>
      </c>
      <c r="X146" t="s">
        <v>2834</v>
      </c>
      <c r="Y146" t="s">
        <v>2834</v>
      </c>
      <c r="Z146">
        <v>8</v>
      </c>
      <c r="AA146" t="s">
        <v>2789</v>
      </c>
      <c r="AB146">
        <v>0.25</v>
      </c>
      <c r="AC146" t="s">
        <v>2794</v>
      </c>
      <c r="AD146">
        <v>11276.947499999998</v>
      </c>
      <c r="AE146">
        <v>4368.1874999999982</v>
      </c>
      <c r="AF146">
        <v>0.38735548782150481</v>
      </c>
      <c r="AG146" t="s">
        <v>2825</v>
      </c>
      <c r="AH146">
        <v>2024</v>
      </c>
      <c r="AI146" t="s">
        <v>2835</v>
      </c>
    </row>
    <row r="147" spans="1:35">
      <c r="A147" t="s">
        <v>545</v>
      </c>
      <c r="B147">
        <v>45758</v>
      </c>
      <c r="C147">
        <v>45760</v>
      </c>
      <c r="D147" t="s">
        <v>546</v>
      </c>
      <c r="E147" t="s">
        <v>36</v>
      </c>
      <c r="F147" t="s">
        <v>37</v>
      </c>
      <c r="G147" t="s">
        <v>63</v>
      </c>
      <c r="H147" t="s">
        <v>190</v>
      </c>
      <c r="I147" t="s">
        <v>191</v>
      </c>
      <c r="J147" t="s">
        <v>28</v>
      </c>
      <c r="K147" t="s">
        <v>29</v>
      </c>
      <c r="L147" t="s">
        <v>547</v>
      </c>
      <c r="M147" t="s">
        <v>59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32</v>
      </c>
      <c r="U147" t="s">
        <v>33</v>
      </c>
      <c r="V147" t="s">
        <v>2834</v>
      </c>
      <c r="W147" t="s">
        <v>2834</v>
      </c>
      <c r="X147" t="s">
        <v>2834</v>
      </c>
      <c r="Y147" t="s">
        <v>2834</v>
      </c>
      <c r="Z147">
        <v>2</v>
      </c>
      <c r="AA147" t="s">
        <v>2789</v>
      </c>
      <c r="AB147">
        <v>0.1</v>
      </c>
      <c r="AC147" t="s">
        <v>2794</v>
      </c>
      <c r="AD147">
        <v>15055.74</v>
      </c>
      <c r="AE147">
        <v>5246.91</v>
      </c>
      <c r="AF147">
        <v>0.34849897779850075</v>
      </c>
      <c r="AG147" t="s">
        <v>2823</v>
      </c>
      <c r="AH147">
        <v>2025</v>
      </c>
      <c r="AI147" t="s">
        <v>2835</v>
      </c>
    </row>
    <row r="148" spans="1:35">
      <c r="A148" t="s">
        <v>548</v>
      </c>
      <c r="B148">
        <v>45868</v>
      </c>
      <c r="C148">
        <v>45870</v>
      </c>
      <c r="D148" t="s">
        <v>549</v>
      </c>
      <c r="E148" t="s">
        <v>132</v>
      </c>
      <c r="F148" t="s">
        <v>37</v>
      </c>
      <c r="G148" t="s">
        <v>54</v>
      </c>
      <c r="H148" t="s">
        <v>247</v>
      </c>
      <c r="I148" t="s">
        <v>248</v>
      </c>
      <c r="J148" t="s">
        <v>28</v>
      </c>
      <c r="K148" t="s">
        <v>124</v>
      </c>
      <c r="L148" t="s">
        <v>550</v>
      </c>
      <c r="M148" t="s">
        <v>44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32</v>
      </c>
      <c r="U148" t="s">
        <v>33</v>
      </c>
      <c r="V148" t="s">
        <v>2834</v>
      </c>
      <c r="W148" t="s">
        <v>2834</v>
      </c>
      <c r="X148" t="s">
        <v>2834</v>
      </c>
      <c r="Y148" t="s">
        <v>2834</v>
      </c>
      <c r="Z148">
        <v>2</v>
      </c>
      <c r="AA148" t="s">
        <v>2789</v>
      </c>
      <c r="AB148">
        <v>0.1</v>
      </c>
      <c r="AC148" t="s">
        <v>2794</v>
      </c>
      <c r="AD148">
        <v>25639.983</v>
      </c>
      <c r="AE148">
        <v>4004.9029999999984</v>
      </c>
      <c r="AF148">
        <v>0.1561975684617263</v>
      </c>
      <c r="AG148" t="s">
        <v>2826</v>
      </c>
      <c r="AH148">
        <v>2025</v>
      </c>
      <c r="AI148" t="s">
        <v>2835</v>
      </c>
    </row>
    <row r="149" spans="1:35">
      <c r="A149" t="s">
        <v>551</v>
      </c>
      <c r="B149">
        <v>45649</v>
      </c>
      <c r="C149">
        <v>45656</v>
      </c>
      <c r="D149" t="s">
        <v>552</v>
      </c>
      <c r="E149" t="s">
        <v>114</v>
      </c>
      <c r="F149" t="s">
        <v>95</v>
      </c>
      <c r="G149" t="s">
        <v>63</v>
      </c>
      <c r="H149" t="s">
        <v>190</v>
      </c>
      <c r="I149" t="s">
        <v>191</v>
      </c>
      <c r="J149" t="s">
        <v>41</v>
      </c>
      <c r="K149" t="s">
        <v>57</v>
      </c>
      <c r="L149" t="s">
        <v>553</v>
      </c>
      <c r="M149" t="s">
        <v>50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32</v>
      </c>
      <c r="U149" t="s">
        <v>33</v>
      </c>
      <c r="V149" t="s">
        <v>2834</v>
      </c>
      <c r="W149" t="s">
        <v>2834</v>
      </c>
      <c r="X149" t="s">
        <v>2834</v>
      </c>
      <c r="Y149" t="s">
        <v>2834</v>
      </c>
      <c r="Z149">
        <v>7</v>
      </c>
      <c r="AA149" t="s">
        <v>2789</v>
      </c>
      <c r="AB149">
        <v>0.1</v>
      </c>
      <c r="AC149" t="s">
        <v>2794</v>
      </c>
      <c r="AD149">
        <v>2779.92</v>
      </c>
      <c r="AE149">
        <v>1035.8700000000001</v>
      </c>
      <c r="AF149">
        <v>0.37262583095916435</v>
      </c>
      <c r="AG149" t="s">
        <v>2831</v>
      </c>
      <c r="AH149">
        <v>2024</v>
      </c>
      <c r="AI149" t="s">
        <v>2835</v>
      </c>
    </row>
    <row r="150" spans="1:35">
      <c r="A150" t="s">
        <v>554</v>
      </c>
      <c r="B150">
        <v>45697</v>
      </c>
      <c r="C150">
        <v>45701</v>
      </c>
      <c r="D150" t="s">
        <v>555</v>
      </c>
      <c r="E150" t="s">
        <v>36</v>
      </c>
      <c r="F150" t="s">
        <v>95</v>
      </c>
      <c r="G150" t="s">
        <v>63</v>
      </c>
      <c r="H150" t="s">
        <v>72</v>
      </c>
      <c r="I150" t="s">
        <v>73</v>
      </c>
      <c r="J150" t="s">
        <v>74</v>
      </c>
      <c r="K150" t="s">
        <v>171</v>
      </c>
      <c r="L150" t="s">
        <v>556</v>
      </c>
      <c r="M150" t="s">
        <v>2791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32</v>
      </c>
      <c r="U150" t="s">
        <v>33</v>
      </c>
      <c r="V150" t="s">
        <v>2834</v>
      </c>
      <c r="W150" t="s">
        <v>2834</v>
      </c>
      <c r="X150" t="s">
        <v>2834</v>
      </c>
      <c r="Y150" t="s">
        <v>2834</v>
      </c>
      <c r="Z150">
        <v>4</v>
      </c>
      <c r="AA150" t="s">
        <v>2789</v>
      </c>
      <c r="AB150">
        <v>0.25</v>
      </c>
      <c r="AC150" t="s">
        <v>2794</v>
      </c>
      <c r="AD150">
        <v>10176.42</v>
      </c>
      <c r="AE150">
        <v>2571.9499999999998</v>
      </c>
      <c r="AF150">
        <v>0.252736227474888</v>
      </c>
      <c r="AG150" t="s">
        <v>2821</v>
      </c>
      <c r="AH150">
        <v>2025</v>
      </c>
      <c r="AI150" t="s">
        <v>2838</v>
      </c>
    </row>
    <row r="151" spans="1:35">
      <c r="A151" t="s">
        <v>557</v>
      </c>
      <c r="B151">
        <v>45321</v>
      </c>
      <c r="C151">
        <v>45321</v>
      </c>
      <c r="D151" t="s">
        <v>558</v>
      </c>
      <c r="E151" t="s">
        <v>128</v>
      </c>
      <c r="F151" t="s">
        <v>37</v>
      </c>
      <c r="G151" t="s">
        <v>63</v>
      </c>
      <c r="H151" t="s">
        <v>26</v>
      </c>
      <c r="I151" t="s">
        <v>109</v>
      </c>
      <c r="J151" t="s">
        <v>74</v>
      </c>
      <c r="K151" t="s">
        <v>80</v>
      </c>
      <c r="L151" t="s">
        <v>559</v>
      </c>
      <c r="M151" t="s">
        <v>44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32</v>
      </c>
      <c r="U151" t="s">
        <v>33</v>
      </c>
      <c r="V151" t="s">
        <v>2834</v>
      </c>
      <c r="W151" t="s">
        <v>2834</v>
      </c>
      <c r="X151" t="s">
        <v>2834</v>
      </c>
      <c r="Y151" t="s">
        <v>2834</v>
      </c>
      <c r="Z151">
        <v>0</v>
      </c>
      <c r="AA151" t="s">
        <v>2789</v>
      </c>
      <c r="AB151">
        <v>0.25</v>
      </c>
      <c r="AC151" t="s">
        <v>2794</v>
      </c>
      <c r="AD151">
        <v>13269.952499999999</v>
      </c>
      <c r="AE151">
        <v>4292.8524999999991</v>
      </c>
      <c r="AF151">
        <v>0.32350172315989822</v>
      </c>
      <c r="AG151" t="s">
        <v>2820</v>
      </c>
      <c r="AH151">
        <v>2024</v>
      </c>
      <c r="AI151" t="s">
        <v>2835</v>
      </c>
    </row>
    <row r="152" spans="1:35">
      <c r="A152" t="s">
        <v>560</v>
      </c>
      <c r="B152">
        <v>45355</v>
      </c>
      <c r="C152">
        <v>45363</v>
      </c>
      <c r="D152" t="s">
        <v>561</v>
      </c>
      <c r="E152" t="s">
        <v>53</v>
      </c>
      <c r="F152" t="s">
        <v>24</v>
      </c>
      <c r="G152" t="s">
        <v>2791</v>
      </c>
      <c r="H152" t="s">
        <v>180</v>
      </c>
      <c r="I152" t="s">
        <v>181</v>
      </c>
      <c r="J152" t="s">
        <v>41</v>
      </c>
      <c r="K152" t="s">
        <v>158</v>
      </c>
      <c r="L152" t="s">
        <v>562</v>
      </c>
      <c r="M152" t="s">
        <v>50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32</v>
      </c>
      <c r="U152" t="s">
        <v>33</v>
      </c>
      <c r="V152" t="s">
        <v>2834</v>
      </c>
      <c r="W152" t="s">
        <v>2834</v>
      </c>
      <c r="X152" t="s">
        <v>2834</v>
      </c>
      <c r="Y152" t="s">
        <v>2834</v>
      </c>
      <c r="Z152">
        <v>8</v>
      </c>
      <c r="AA152" t="s">
        <v>2789</v>
      </c>
      <c r="AB152">
        <v>0.1</v>
      </c>
      <c r="AC152" t="s">
        <v>2794</v>
      </c>
      <c r="AD152">
        <v>1398.7079999999999</v>
      </c>
      <c r="AE152">
        <v>341.78799999999978</v>
      </c>
      <c r="AF152">
        <v>0.24435979489643286</v>
      </c>
      <c r="AG152" t="s">
        <v>2822</v>
      </c>
      <c r="AH152">
        <v>2024</v>
      </c>
      <c r="AI152" t="s">
        <v>2838</v>
      </c>
    </row>
    <row r="153" spans="1:35">
      <c r="A153" t="s">
        <v>563</v>
      </c>
      <c r="B153">
        <v>45470</v>
      </c>
      <c r="C153">
        <v>45470</v>
      </c>
      <c r="D153" t="s">
        <v>564</v>
      </c>
      <c r="E153" t="s">
        <v>79</v>
      </c>
      <c r="F153" t="s">
        <v>95</v>
      </c>
      <c r="G153" t="s">
        <v>2791</v>
      </c>
      <c r="H153" t="s">
        <v>72</v>
      </c>
      <c r="I153" t="s">
        <v>73</v>
      </c>
      <c r="J153" t="s">
        <v>74</v>
      </c>
      <c r="K153" t="s">
        <v>80</v>
      </c>
      <c r="L153" t="s">
        <v>565</v>
      </c>
      <c r="M153" t="s">
        <v>59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111</v>
      </c>
      <c r="U153" t="s">
        <v>103</v>
      </c>
      <c r="V153" t="s">
        <v>2834</v>
      </c>
      <c r="W153" t="s">
        <v>2834</v>
      </c>
      <c r="X153" t="s">
        <v>2834</v>
      </c>
      <c r="Y153" t="s">
        <v>2834</v>
      </c>
      <c r="Z153">
        <v>0</v>
      </c>
      <c r="AA153" t="s">
        <v>2789</v>
      </c>
      <c r="AB153">
        <v>0</v>
      </c>
      <c r="AC153" t="s">
        <v>2794</v>
      </c>
      <c r="AD153">
        <v>7718.22</v>
      </c>
      <c r="AE153">
        <v>2362.29</v>
      </c>
      <c r="AF153">
        <v>0.30606668376905555</v>
      </c>
      <c r="AG153" t="s">
        <v>2825</v>
      </c>
      <c r="AH153">
        <v>2024</v>
      </c>
      <c r="AI153" t="s">
        <v>2838</v>
      </c>
    </row>
    <row r="154" spans="1:35">
      <c r="A154" t="s">
        <v>566</v>
      </c>
      <c r="B154">
        <v>45457</v>
      </c>
      <c r="C154">
        <v>45460</v>
      </c>
      <c r="D154" t="s">
        <v>567</v>
      </c>
      <c r="E154" t="s">
        <v>264</v>
      </c>
      <c r="F154" t="s">
        <v>37</v>
      </c>
      <c r="G154" t="s">
        <v>54</v>
      </c>
      <c r="H154" t="s">
        <v>185</v>
      </c>
      <c r="I154" t="s">
        <v>186</v>
      </c>
      <c r="J154" t="s">
        <v>41</v>
      </c>
      <c r="K154" t="s">
        <v>42</v>
      </c>
      <c r="L154" t="s">
        <v>568</v>
      </c>
      <c r="M154" t="s">
        <v>31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111</v>
      </c>
      <c r="U154" t="s">
        <v>103</v>
      </c>
      <c r="V154" t="s">
        <v>2834</v>
      </c>
      <c r="W154" t="s">
        <v>2834</v>
      </c>
      <c r="X154" t="s">
        <v>2834</v>
      </c>
      <c r="Y154" t="s">
        <v>2834</v>
      </c>
      <c r="Z154">
        <v>3</v>
      </c>
      <c r="AA154" t="s">
        <v>2789</v>
      </c>
      <c r="AB154">
        <v>0.1</v>
      </c>
      <c r="AC154" t="s">
        <v>2794</v>
      </c>
      <c r="AD154">
        <v>5875.4160000000002</v>
      </c>
      <c r="AE154">
        <v>1494.866</v>
      </c>
      <c r="AF154">
        <v>0.25442726098032886</v>
      </c>
      <c r="AG154" t="s">
        <v>2825</v>
      </c>
      <c r="AH154">
        <v>2024</v>
      </c>
      <c r="AI154" t="s">
        <v>2835</v>
      </c>
    </row>
    <row r="155" spans="1:35">
      <c r="A155" t="s">
        <v>569</v>
      </c>
      <c r="B155">
        <v>45923</v>
      </c>
      <c r="C155">
        <v>45925</v>
      </c>
      <c r="D155" t="s">
        <v>570</v>
      </c>
      <c r="E155" t="s">
        <v>89</v>
      </c>
      <c r="F155" t="s">
        <v>24</v>
      </c>
      <c r="G155" t="s">
        <v>38</v>
      </c>
      <c r="H155" t="s">
        <v>39</v>
      </c>
      <c r="I155" t="s">
        <v>40</v>
      </c>
      <c r="J155" t="s">
        <v>28</v>
      </c>
      <c r="K155" t="s">
        <v>91</v>
      </c>
      <c r="L155" t="s">
        <v>571</v>
      </c>
      <c r="M155" t="s">
        <v>59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102</v>
      </c>
      <c r="U155" t="s">
        <v>103</v>
      </c>
      <c r="V155" t="s">
        <v>2834</v>
      </c>
      <c r="W155" t="s">
        <v>2834</v>
      </c>
      <c r="X155" t="s">
        <v>2834</v>
      </c>
      <c r="Y155" t="s">
        <v>2834</v>
      </c>
      <c r="Z155">
        <v>2</v>
      </c>
      <c r="AA155" t="s">
        <v>2789</v>
      </c>
      <c r="AB155">
        <v>0</v>
      </c>
      <c r="AC155" t="s">
        <v>2794</v>
      </c>
      <c r="AD155">
        <v>22962.17</v>
      </c>
      <c r="AE155">
        <v>7245.6699999999983</v>
      </c>
      <c r="AF155">
        <v>0.31554813852523517</v>
      </c>
      <c r="AG155" t="s">
        <v>2828</v>
      </c>
      <c r="AH155">
        <v>2025</v>
      </c>
      <c r="AI155" t="s">
        <v>2835</v>
      </c>
    </row>
    <row r="156" spans="1:35">
      <c r="A156" t="s">
        <v>572</v>
      </c>
      <c r="B156">
        <v>45334</v>
      </c>
      <c r="C156">
        <v>45333</v>
      </c>
      <c r="D156" t="s">
        <v>455</v>
      </c>
      <c r="E156" t="s">
        <v>114</v>
      </c>
      <c r="F156" t="s">
        <v>24</v>
      </c>
      <c r="G156" t="s">
        <v>54</v>
      </c>
      <c r="H156" t="s">
        <v>247</v>
      </c>
      <c r="I156" t="s">
        <v>248</v>
      </c>
      <c r="J156" t="s">
        <v>41</v>
      </c>
      <c r="K156" t="s">
        <v>158</v>
      </c>
      <c r="L156" t="s">
        <v>573</v>
      </c>
      <c r="M156" t="s">
        <v>44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32</v>
      </c>
      <c r="U156" t="s">
        <v>33</v>
      </c>
      <c r="V156" t="s">
        <v>2834</v>
      </c>
      <c r="W156" t="s">
        <v>2834</v>
      </c>
      <c r="X156" t="s">
        <v>2834</v>
      </c>
      <c r="Y156" t="s">
        <v>2837</v>
      </c>
      <c r="Z156">
        <v>-1</v>
      </c>
      <c r="AA156" t="s">
        <v>2789</v>
      </c>
      <c r="AB156">
        <v>0.15</v>
      </c>
      <c r="AC156" t="s">
        <v>2794</v>
      </c>
      <c r="AD156">
        <v>2209.252</v>
      </c>
      <c r="AE156">
        <v>685.47199999999998</v>
      </c>
      <c r="AF156">
        <v>0.31027334138432372</v>
      </c>
      <c r="AG156" t="s">
        <v>2821</v>
      </c>
      <c r="AH156">
        <v>2024</v>
      </c>
      <c r="AI156" t="s">
        <v>2836</v>
      </c>
    </row>
    <row r="157" spans="1:35">
      <c r="A157" t="s">
        <v>574</v>
      </c>
      <c r="B157">
        <v>45683</v>
      </c>
      <c r="C157">
        <v>45691</v>
      </c>
      <c r="D157" t="s">
        <v>575</v>
      </c>
      <c r="E157" t="s">
        <v>23</v>
      </c>
      <c r="F157" t="s">
        <v>90</v>
      </c>
      <c r="G157" t="s">
        <v>63</v>
      </c>
      <c r="H157" t="s">
        <v>26</v>
      </c>
      <c r="I157" t="s">
        <v>109</v>
      </c>
      <c r="J157" t="s">
        <v>41</v>
      </c>
      <c r="K157" t="s">
        <v>57</v>
      </c>
      <c r="L157" t="s">
        <v>576</v>
      </c>
      <c r="M157" t="s">
        <v>44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102</v>
      </c>
      <c r="U157" t="s">
        <v>103</v>
      </c>
      <c r="V157" t="s">
        <v>2834</v>
      </c>
      <c r="W157" t="s">
        <v>2834</v>
      </c>
      <c r="X157" t="s">
        <v>2834</v>
      </c>
      <c r="Y157" t="s">
        <v>2834</v>
      </c>
      <c r="Z157">
        <v>8</v>
      </c>
      <c r="AA157" t="s">
        <v>2789</v>
      </c>
      <c r="AB157">
        <v>0.1</v>
      </c>
      <c r="AC157" t="s">
        <v>2794</v>
      </c>
      <c r="AD157">
        <v>7720.1640000000007</v>
      </c>
      <c r="AE157">
        <v>1839.1640000000007</v>
      </c>
      <c r="AF157">
        <v>0.23822861794127695</v>
      </c>
      <c r="AG157" t="s">
        <v>2820</v>
      </c>
      <c r="AH157">
        <v>2025</v>
      </c>
      <c r="AI157" t="s">
        <v>2835</v>
      </c>
    </row>
    <row r="158" spans="1:35">
      <c r="A158" t="s">
        <v>577</v>
      </c>
      <c r="B158">
        <v>45743</v>
      </c>
      <c r="C158">
        <v>45743</v>
      </c>
      <c r="D158" t="s">
        <v>578</v>
      </c>
      <c r="E158" t="s">
        <v>71</v>
      </c>
      <c r="F158" t="s">
        <v>37</v>
      </c>
      <c r="G158" t="s">
        <v>38</v>
      </c>
      <c r="H158" t="s">
        <v>145</v>
      </c>
      <c r="I158" t="s">
        <v>146</v>
      </c>
      <c r="J158" t="s">
        <v>74</v>
      </c>
      <c r="K158" t="s">
        <v>274</v>
      </c>
      <c r="L158" t="s">
        <v>579</v>
      </c>
      <c r="M158" t="s">
        <v>31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32</v>
      </c>
      <c r="U158" t="s">
        <v>33</v>
      </c>
      <c r="V158" t="s">
        <v>2834</v>
      </c>
      <c r="W158" t="s">
        <v>2834</v>
      </c>
      <c r="X158" t="s">
        <v>2834</v>
      </c>
      <c r="Y158" t="s">
        <v>2834</v>
      </c>
      <c r="Z158">
        <v>0</v>
      </c>
      <c r="AA158" t="s">
        <v>2789</v>
      </c>
      <c r="AB158">
        <v>0.25</v>
      </c>
      <c r="AC158" t="s">
        <v>2794</v>
      </c>
      <c r="AD158">
        <v>12103.192500000001</v>
      </c>
      <c r="AE158">
        <v>5385.3225000000011</v>
      </c>
      <c r="AF158">
        <v>0.44495057812225997</v>
      </c>
      <c r="AG158" t="s">
        <v>2822</v>
      </c>
      <c r="AH158">
        <v>2025</v>
      </c>
      <c r="AI158" t="s">
        <v>2835</v>
      </c>
    </row>
    <row r="159" spans="1:35">
      <c r="A159" t="s">
        <v>580</v>
      </c>
      <c r="B159">
        <v>45587</v>
      </c>
      <c r="C159">
        <v>45589</v>
      </c>
      <c r="D159" t="s">
        <v>581</v>
      </c>
      <c r="E159" t="s">
        <v>141</v>
      </c>
      <c r="F159" t="s">
        <v>37</v>
      </c>
      <c r="G159" t="s">
        <v>54</v>
      </c>
      <c r="H159" t="s">
        <v>84</v>
      </c>
      <c r="I159" t="s">
        <v>85</v>
      </c>
      <c r="J159" t="s">
        <v>41</v>
      </c>
      <c r="K159" t="s">
        <v>158</v>
      </c>
      <c r="L159" t="s">
        <v>582</v>
      </c>
      <c r="M159" t="s">
        <v>59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32</v>
      </c>
      <c r="U159" t="s">
        <v>33</v>
      </c>
      <c r="V159" t="s">
        <v>2834</v>
      </c>
      <c r="W159" t="s">
        <v>2834</v>
      </c>
      <c r="X159" t="s">
        <v>2834</v>
      </c>
      <c r="Y159" t="s">
        <v>2834</v>
      </c>
      <c r="Z159">
        <v>2</v>
      </c>
      <c r="AA159" t="s">
        <v>2789</v>
      </c>
      <c r="AB159">
        <v>0.15</v>
      </c>
      <c r="AC159" t="s">
        <v>2794</v>
      </c>
      <c r="AD159">
        <v>2335.3919999999998</v>
      </c>
      <c r="AE159">
        <v>869.24199999999973</v>
      </c>
      <c r="AF159">
        <v>0.3722038955344541</v>
      </c>
      <c r="AG159" t="s">
        <v>2829</v>
      </c>
      <c r="AH159">
        <v>2024</v>
      </c>
      <c r="AI159" t="s">
        <v>2835</v>
      </c>
    </row>
    <row r="160" spans="1:35">
      <c r="A160" t="s">
        <v>583</v>
      </c>
      <c r="B160">
        <v>45544</v>
      </c>
      <c r="C160">
        <v>45546</v>
      </c>
      <c r="D160" t="s">
        <v>584</v>
      </c>
      <c r="E160" t="s">
        <v>79</v>
      </c>
      <c r="F160" t="s">
        <v>95</v>
      </c>
      <c r="G160" t="s">
        <v>54</v>
      </c>
      <c r="H160" t="s">
        <v>55</v>
      </c>
      <c r="I160" t="s">
        <v>56</v>
      </c>
      <c r="J160" t="s">
        <v>41</v>
      </c>
      <c r="K160" t="s">
        <v>158</v>
      </c>
      <c r="L160" t="s">
        <v>585</v>
      </c>
      <c r="M160" t="s">
        <v>50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32</v>
      </c>
      <c r="U160" t="s">
        <v>33</v>
      </c>
      <c r="V160" t="s">
        <v>2834</v>
      </c>
      <c r="W160" t="s">
        <v>2834</v>
      </c>
      <c r="X160" t="s">
        <v>2834</v>
      </c>
      <c r="Y160" t="s">
        <v>2834</v>
      </c>
      <c r="Z160">
        <v>2</v>
      </c>
      <c r="AA160" t="s">
        <v>2789</v>
      </c>
      <c r="AB160">
        <v>0.05</v>
      </c>
      <c r="AC160" t="s">
        <v>2794</v>
      </c>
      <c r="AD160">
        <v>3989.5629999999996</v>
      </c>
      <c r="AE160">
        <v>1608.1829999999995</v>
      </c>
      <c r="AF160">
        <v>0.40309753223598666</v>
      </c>
      <c r="AG160" t="s">
        <v>2828</v>
      </c>
      <c r="AH160">
        <v>2024</v>
      </c>
      <c r="AI160" t="s">
        <v>2835</v>
      </c>
    </row>
    <row r="161" spans="1:35">
      <c r="A161" t="s">
        <v>586</v>
      </c>
      <c r="B161">
        <v>45687</v>
      </c>
      <c r="C161">
        <v>45692</v>
      </c>
      <c r="D161" t="s">
        <v>587</v>
      </c>
      <c r="E161" t="s">
        <v>114</v>
      </c>
      <c r="F161" t="s">
        <v>90</v>
      </c>
      <c r="G161" t="s">
        <v>25</v>
      </c>
      <c r="H161" t="s">
        <v>236</v>
      </c>
      <c r="I161" t="s">
        <v>237</v>
      </c>
      <c r="J161" t="s">
        <v>41</v>
      </c>
      <c r="K161" t="s">
        <v>66</v>
      </c>
      <c r="L161" t="s">
        <v>588</v>
      </c>
      <c r="M161" t="s">
        <v>44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111</v>
      </c>
      <c r="U161" t="s">
        <v>68</v>
      </c>
      <c r="V161" t="s">
        <v>2834</v>
      </c>
      <c r="W161" t="s">
        <v>2834</v>
      </c>
      <c r="X161" t="s">
        <v>2834</v>
      </c>
      <c r="Y161" t="s">
        <v>2834</v>
      </c>
      <c r="Z161">
        <v>5</v>
      </c>
      <c r="AA161" t="s">
        <v>2789</v>
      </c>
      <c r="AB161">
        <v>0.15</v>
      </c>
      <c r="AC161" t="s">
        <v>2794</v>
      </c>
      <c r="AD161">
        <v>33893.324999999997</v>
      </c>
      <c r="AE161">
        <v>8142.9749999999985</v>
      </c>
      <c r="AF161">
        <v>0.24025305867748292</v>
      </c>
      <c r="AG161" t="s">
        <v>2820</v>
      </c>
      <c r="AH161">
        <v>2025</v>
      </c>
      <c r="AI161" t="s">
        <v>2835</v>
      </c>
    </row>
    <row r="162" spans="1:35">
      <c r="A162" t="s">
        <v>589</v>
      </c>
      <c r="B162">
        <v>45938</v>
      </c>
      <c r="C162">
        <v>45936</v>
      </c>
      <c r="D162" t="s">
        <v>590</v>
      </c>
      <c r="E162" t="s">
        <v>71</v>
      </c>
      <c r="F162" t="s">
        <v>37</v>
      </c>
      <c r="G162" t="s">
        <v>63</v>
      </c>
      <c r="H162" t="s">
        <v>64</v>
      </c>
      <c r="I162" t="s">
        <v>65</v>
      </c>
      <c r="J162" t="s">
        <v>28</v>
      </c>
      <c r="K162" t="s">
        <v>29</v>
      </c>
      <c r="L162" t="s">
        <v>591</v>
      </c>
      <c r="M162" t="s">
        <v>31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111</v>
      </c>
      <c r="U162" t="s">
        <v>68</v>
      </c>
      <c r="V162" t="s">
        <v>2834</v>
      </c>
      <c r="W162" t="s">
        <v>2834</v>
      </c>
      <c r="X162" t="s">
        <v>2834</v>
      </c>
      <c r="Y162" t="s">
        <v>2837</v>
      </c>
      <c r="Z162">
        <v>-2</v>
      </c>
      <c r="AA162" t="s">
        <v>2789</v>
      </c>
      <c r="AB162">
        <v>0.05</v>
      </c>
      <c r="AC162" t="s">
        <v>2794</v>
      </c>
      <c r="AD162">
        <v>4789.5960000000005</v>
      </c>
      <c r="AE162">
        <v>751.95600000000059</v>
      </c>
      <c r="AF162">
        <v>0.1569977927157114</v>
      </c>
      <c r="AG162" t="s">
        <v>2829</v>
      </c>
      <c r="AH162">
        <v>2025</v>
      </c>
      <c r="AI162" t="s">
        <v>2836</v>
      </c>
    </row>
    <row r="163" spans="1:35">
      <c r="A163" t="s">
        <v>592</v>
      </c>
      <c r="B163">
        <v>45862</v>
      </c>
      <c r="C163">
        <v>45868</v>
      </c>
      <c r="D163" t="s">
        <v>593</v>
      </c>
      <c r="E163" t="s">
        <v>53</v>
      </c>
      <c r="F163" t="s">
        <v>24</v>
      </c>
      <c r="G163" t="s">
        <v>63</v>
      </c>
      <c r="H163" t="s">
        <v>26</v>
      </c>
      <c r="I163" t="s">
        <v>109</v>
      </c>
      <c r="J163" t="s">
        <v>28</v>
      </c>
      <c r="K163" t="s">
        <v>153</v>
      </c>
      <c r="L163" t="s">
        <v>594</v>
      </c>
      <c r="M163" t="s">
        <v>59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111</v>
      </c>
      <c r="U163" t="s">
        <v>68</v>
      </c>
      <c r="V163" t="s">
        <v>2834</v>
      </c>
      <c r="W163" t="s">
        <v>2834</v>
      </c>
      <c r="X163" t="s">
        <v>2834</v>
      </c>
      <c r="Y163" t="s">
        <v>2834</v>
      </c>
      <c r="Z163">
        <v>6</v>
      </c>
      <c r="AA163" t="s">
        <v>2789</v>
      </c>
      <c r="AB163">
        <v>0</v>
      </c>
      <c r="AC163" t="s">
        <v>2794</v>
      </c>
      <c r="AD163">
        <v>1643.41</v>
      </c>
      <c r="AE163">
        <v>736.0100000000001</v>
      </c>
      <c r="AF163">
        <v>0.44785537388722235</v>
      </c>
      <c r="AG163" t="s">
        <v>2826</v>
      </c>
      <c r="AH163">
        <v>2025</v>
      </c>
      <c r="AI163" t="s">
        <v>2835</v>
      </c>
    </row>
    <row r="164" spans="1:35">
      <c r="A164" t="s">
        <v>595</v>
      </c>
      <c r="B164">
        <v>45360</v>
      </c>
      <c r="C164">
        <v>45365</v>
      </c>
      <c r="D164" t="s">
        <v>596</v>
      </c>
      <c r="E164" t="s">
        <v>79</v>
      </c>
      <c r="F164" t="s">
        <v>37</v>
      </c>
      <c r="G164" t="s">
        <v>63</v>
      </c>
      <c r="H164" t="s">
        <v>190</v>
      </c>
      <c r="I164" t="s">
        <v>191</v>
      </c>
      <c r="J164" t="s">
        <v>41</v>
      </c>
      <c r="K164" t="s">
        <v>57</v>
      </c>
      <c r="L164" t="s">
        <v>597</v>
      </c>
      <c r="M164" t="s">
        <v>31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111</v>
      </c>
      <c r="U164" t="s">
        <v>103</v>
      </c>
      <c r="V164" t="s">
        <v>2834</v>
      </c>
      <c r="W164" t="s">
        <v>2834</v>
      </c>
      <c r="X164" t="s">
        <v>2834</v>
      </c>
      <c r="Y164" t="s">
        <v>2834</v>
      </c>
      <c r="Z164">
        <v>5</v>
      </c>
      <c r="AA164" t="s">
        <v>2789</v>
      </c>
      <c r="AB164">
        <v>0</v>
      </c>
      <c r="AC164" t="s">
        <v>2794</v>
      </c>
      <c r="AD164">
        <v>35782.720000000001</v>
      </c>
      <c r="AE164">
        <v>9358.3100000000013</v>
      </c>
      <c r="AF164">
        <v>0.2615315437171909</v>
      </c>
      <c r="AG164" t="s">
        <v>2822</v>
      </c>
      <c r="AH164">
        <v>2024</v>
      </c>
      <c r="AI164" t="s">
        <v>2835</v>
      </c>
    </row>
    <row r="165" spans="1:35">
      <c r="A165" t="s">
        <v>598</v>
      </c>
      <c r="B165">
        <v>45921</v>
      </c>
      <c r="C165">
        <v>45926</v>
      </c>
      <c r="D165" t="s">
        <v>599</v>
      </c>
      <c r="E165" t="s">
        <v>141</v>
      </c>
      <c r="F165" t="s">
        <v>95</v>
      </c>
      <c r="G165" t="s">
        <v>63</v>
      </c>
      <c r="H165" t="s">
        <v>180</v>
      </c>
      <c r="I165" t="s">
        <v>181</v>
      </c>
      <c r="J165" t="s">
        <v>41</v>
      </c>
      <c r="K165" t="s">
        <v>42</v>
      </c>
      <c r="L165" t="s">
        <v>600</v>
      </c>
      <c r="M165" t="s">
        <v>2791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111</v>
      </c>
      <c r="U165" t="s">
        <v>103</v>
      </c>
      <c r="V165" t="s">
        <v>2834</v>
      </c>
      <c r="W165" t="s">
        <v>2834</v>
      </c>
      <c r="X165" t="s">
        <v>2834</v>
      </c>
      <c r="Y165" t="s">
        <v>2834</v>
      </c>
      <c r="Z165">
        <v>5</v>
      </c>
      <c r="AA165" t="s">
        <v>2789</v>
      </c>
      <c r="AB165">
        <v>0.1</v>
      </c>
      <c r="AC165" t="s">
        <v>2794</v>
      </c>
      <c r="AD165">
        <v>15679.332</v>
      </c>
      <c r="AE165">
        <v>3201.5120000000006</v>
      </c>
      <c r="AF165">
        <v>0.20418675999717339</v>
      </c>
      <c r="AG165" t="s">
        <v>2828</v>
      </c>
      <c r="AH165">
        <v>2025</v>
      </c>
      <c r="AI165" t="s">
        <v>2838</v>
      </c>
    </row>
    <row r="166" spans="1:35">
      <c r="A166" t="s">
        <v>601</v>
      </c>
      <c r="B166">
        <v>45909</v>
      </c>
      <c r="C166">
        <v>45914</v>
      </c>
      <c r="D166" t="s">
        <v>602</v>
      </c>
      <c r="E166" t="s">
        <v>118</v>
      </c>
      <c r="F166" t="s">
        <v>37</v>
      </c>
      <c r="G166" t="s">
        <v>38</v>
      </c>
      <c r="H166" t="s">
        <v>99</v>
      </c>
      <c r="I166" t="s">
        <v>100</v>
      </c>
      <c r="J166" t="s">
        <v>41</v>
      </c>
      <c r="K166" t="s">
        <v>158</v>
      </c>
      <c r="L166" t="s">
        <v>603</v>
      </c>
      <c r="M166" t="s">
        <v>31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32</v>
      </c>
      <c r="U166" t="s">
        <v>33</v>
      </c>
      <c r="V166" t="s">
        <v>2834</v>
      </c>
      <c r="W166" t="s">
        <v>2834</v>
      </c>
      <c r="X166" t="s">
        <v>2834</v>
      </c>
      <c r="Y166" t="s">
        <v>2834</v>
      </c>
      <c r="Z166">
        <v>5</v>
      </c>
      <c r="AA166" t="s">
        <v>2789</v>
      </c>
      <c r="AB166">
        <v>0.25</v>
      </c>
      <c r="AC166" t="s">
        <v>2794</v>
      </c>
      <c r="AD166">
        <v>2365.8150000000001</v>
      </c>
      <c r="AE166">
        <v>817.82500000000005</v>
      </c>
      <c r="AF166">
        <v>0.34568425679945392</v>
      </c>
      <c r="AG166" t="s">
        <v>2828</v>
      </c>
      <c r="AH166">
        <v>2025</v>
      </c>
      <c r="AI166" t="s">
        <v>2835</v>
      </c>
    </row>
    <row r="167" spans="1:35">
      <c r="A167" t="s">
        <v>604</v>
      </c>
      <c r="B167">
        <v>45618</v>
      </c>
      <c r="C167">
        <v>45625</v>
      </c>
      <c r="D167" t="s">
        <v>605</v>
      </c>
      <c r="E167" t="s">
        <v>36</v>
      </c>
      <c r="F167" t="s">
        <v>95</v>
      </c>
      <c r="G167" t="s">
        <v>38</v>
      </c>
      <c r="H167" t="s">
        <v>145</v>
      </c>
      <c r="I167" t="s">
        <v>146</v>
      </c>
      <c r="J167" t="s">
        <v>41</v>
      </c>
      <c r="K167" t="s">
        <v>66</v>
      </c>
      <c r="L167" t="s">
        <v>606</v>
      </c>
      <c r="M167" t="s">
        <v>59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32</v>
      </c>
      <c r="U167" t="s">
        <v>33</v>
      </c>
      <c r="V167" t="s">
        <v>2834</v>
      </c>
      <c r="W167" t="s">
        <v>2834</v>
      </c>
      <c r="X167" t="s">
        <v>2834</v>
      </c>
      <c r="Y167" t="s">
        <v>2834</v>
      </c>
      <c r="Z167">
        <v>7</v>
      </c>
      <c r="AA167" t="s">
        <v>2789</v>
      </c>
      <c r="AB167">
        <v>0.25</v>
      </c>
      <c r="AC167" t="s">
        <v>2794</v>
      </c>
      <c r="AD167">
        <v>10268.969999999999</v>
      </c>
      <c r="AE167">
        <v>3798.0499999999993</v>
      </c>
      <c r="AF167">
        <v>0.36985695741637181</v>
      </c>
      <c r="AG167" t="s">
        <v>2830</v>
      </c>
      <c r="AH167">
        <v>2024</v>
      </c>
      <c r="AI167" t="s">
        <v>2835</v>
      </c>
    </row>
    <row r="168" spans="1:35">
      <c r="A168" t="s">
        <v>607</v>
      </c>
      <c r="B168">
        <v>45708</v>
      </c>
      <c r="C168">
        <v>45714</v>
      </c>
      <c r="D168" t="s">
        <v>608</v>
      </c>
      <c r="E168" t="s">
        <v>23</v>
      </c>
      <c r="F168" t="s">
        <v>37</v>
      </c>
      <c r="G168" t="s">
        <v>63</v>
      </c>
      <c r="H168" t="s">
        <v>180</v>
      </c>
      <c r="I168" t="s">
        <v>181</v>
      </c>
      <c r="J168" t="s">
        <v>28</v>
      </c>
      <c r="K168" t="s">
        <v>91</v>
      </c>
      <c r="L168" t="s">
        <v>609</v>
      </c>
      <c r="M168" t="s">
        <v>50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32</v>
      </c>
      <c r="U168" t="s">
        <v>33</v>
      </c>
      <c r="V168" t="s">
        <v>2834</v>
      </c>
      <c r="W168" t="s">
        <v>2834</v>
      </c>
      <c r="X168" t="s">
        <v>2834</v>
      </c>
      <c r="Y168" t="s">
        <v>2834</v>
      </c>
      <c r="Z168">
        <v>6</v>
      </c>
      <c r="AA168" t="s">
        <v>2789</v>
      </c>
      <c r="AB168">
        <v>0.2</v>
      </c>
      <c r="AC168" t="s">
        <v>2794</v>
      </c>
      <c r="AD168">
        <v>2046.28</v>
      </c>
      <c r="AE168">
        <v>596.74</v>
      </c>
      <c r="AF168">
        <v>0.29162186992982386</v>
      </c>
      <c r="AG168" t="s">
        <v>2821</v>
      </c>
      <c r="AH168">
        <v>2025</v>
      </c>
      <c r="AI168" t="s">
        <v>2835</v>
      </c>
    </row>
    <row r="169" spans="1:35">
      <c r="A169" t="s">
        <v>610</v>
      </c>
      <c r="B169">
        <v>45887</v>
      </c>
      <c r="C169">
        <v>45887</v>
      </c>
      <c r="D169" t="s">
        <v>611</v>
      </c>
      <c r="E169" t="s">
        <v>53</v>
      </c>
      <c r="F169" t="s">
        <v>95</v>
      </c>
      <c r="G169" t="s">
        <v>54</v>
      </c>
      <c r="H169" t="s">
        <v>175</v>
      </c>
      <c r="I169" t="s">
        <v>176</v>
      </c>
      <c r="J169" t="s">
        <v>28</v>
      </c>
      <c r="K169" t="s">
        <v>124</v>
      </c>
      <c r="L169" t="s">
        <v>612</v>
      </c>
      <c r="M169" t="s">
        <v>50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32</v>
      </c>
      <c r="U169" t="s">
        <v>103</v>
      </c>
      <c r="V169" t="s">
        <v>2834</v>
      </c>
      <c r="W169" t="s">
        <v>2834</v>
      </c>
      <c r="X169" t="s">
        <v>2834</v>
      </c>
      <c r="Y169" t="s">
        <v>2834</v>
      </c>
      <c r="Z169">
        <v>0</v>
      </c>
      <c r="AA169" t="s">
        <v>2789</v>
      </c>
      <c r="AB169">
        <v>0.15</v>
      </c>
      <c r="AC169" t="s">
        <v>2794</v>
      </c>
      <c r="AD169">
        <v>23186.6145</v>
      </c>
      <c r="AE169">
        <v>5280.0744999999988</v>
      </c>
      <c r="AF169">
        <v>0.22772080417345961</v>
      </c>
      <c r="AG169" t="s">
        <v>2827</v>
      </c>
      <c r="AH169">
        <v>2025</v>
      </c>
      <c r="AI169" t="s">
        <v>2835</v>
      </c>
    </row>
    <row r="170" spans="1:35">
      <c r="A170" t="s">
        <v>613</v>
      </c>
      <c r="B170">
        <v>45677</v>
      </c>
      <c r="C170">
        <v>45680</v>
      </c>
      <c r="D170" t="s">
        <v>614</v>
      </c>
      <c r="E170" t="s">
        <v>264</v>
      </c>
      <c r="F170" t="s">
        <v>24</v>
      </c>
      <c r="G170" t="s">
        <v>63</v>
      </c>
      <c r="H170" t="s">
        <v>64</v>
      </c>
      <c r="I170" t="s">
        <v>65</v>
      </c>
      <c r="J170" t="s">
        <v>74</v>
      </c>
      <c r="K170" t="s">
        <v>75</v>
      </c>
      <c r="L170" t="s">
        <v>615</v>
      </c>
      <c r="M170" t="s">
        <v>44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32</v>
      </c>
      <c r="U170" t="s">
        <v>68</v>
      </c>
      <c r="V170" t="s">
        <v>2834</v>
      </c>
      <c r="W170" t="s">
        <v>2834</v>
      </c>
      <c r="X170" t="s">
        <v>2834</v>
      </c>
      <c r="Y170" t="s">
        <v>2834</v>
      </c>
      <c r="Z170">
        <v>3</v>
      </c>
      <c r="AA170" t="s">
        <v>2789</v>
      </c>
      <c r="AB170">
        <v>0.2</v>
      </c>
      <c r="AC170" t="s">
        <v>2794</v>
      </c>
      <c r="AD170">
        <v>2557.08</v>
      </c>
      <c r="AE170">
        <v>531.38999999999987</v>
      </c>
      <c r="AF170">
        <v>0.2078112534609789</v>
      </c>
      <c r="AG170" t="s">
        <v>2820</v>
      </c>
      <c r="AH170">
        <v>2025</v>
      </c>
      <c r="AI170" t="s">
        <v>2835</v>
      </c>
    </row>
    <row r="171" spans="1:35">
      <c r="A171" t="s">
        <v>616</v>
      </c>
      <c r="B171">
        <v>45913</v>
      </c>
      <c r="C171">
        <v>45913</v>
      </c>
      <c r="D171" t="s">
        <v>617</v>
      </c>
      <c r="E171" t="s">
        <v>162</v>
      </c>
      <c r="F171" t="s">
        <v>24</v>
      </c>
      <c r="G171" t="s">
        <v>38</v>
      </c>
      <c r="H171" t="s">
        <v>166</v>
      </c>
      <c r="I171" t="s">
        <v>167</v>
      </c>
      <c r="J171" t="s">
        <v>28</v>
      </c>
      <c r="K171" t="s">
        <v>48</v>
      </c>
      <c r="L171" t="s">
        <v>618</v>
      </c>
      <c r="M171" t="s">
        <v>59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111</v>
      </c>
      <c r="U171" t="s">
        <v>103</v>
      </c>
      <c r="V171" t="s">
        <v>2834</v>
      </c>
      <c r="W171" t="s">
        <v>2834</v>
      </c>
      <c r="X171" t="s">
        <v>2834</v>
      </c>
      <c r="Y171" t="s">
        <v>2834</v>
      </c>
      <c r="Z171">
        <v>0</v>
      </c>
      <c r="AA171" t="s">
        <v>2789</v>
      </c>
      <c r="AB171">
        <v>0.05</v>
      </c>
      <c r="AC171" t="s">
        <v>2794</v>
      </c>
      <c r="AD171">
        <v>5577.6399999999994</v>
      </c>
      <c r="AE171">
        <v>2036.3499999999995</v>
      </c>
      <c r="AF171">
        <v>0.36509168752375548</v>
      </c>
      <c r="AG171" t="s">
        <v>2828</v>
      </c>
      <c r="AH171">
        <v>2025</v>
      </c>
      <c r="AI171" t="s">
        <v>2835</v>
      </c>
    </row>
    <row r="172" spans="1:35">
      <c r="A172" t="s">
        <v>619</v>
      </c>
      <c r="B172">
        <v>45907</v>
      </c>
      <c r="C172">
        <v>45915</v>
      </c>
      <c r="D172" t="s">
        <v>620</v>
      </c>
      <c r="E172" t="s">
        <v>141</v>
      </c>
      <c r="F172" t="s">
        <v>90</v>
      </c>
      <c r="G172" t="s">
        <v>38</v>
      </c>
      <c r="H172" t="s">
        <v>145</v>
      </c>
      <c r="I172" t="s">
        <v>146</v>
      </c>
      <c r="J172" t="s">
        <v>74</v>
      </c>
      <c r="K172" t="s">
        <v>80</v>
      </c>
      <c r="L172" t="s">
        <v>621</v>
      </c>
      <c r="M172" t="s">
        <v>59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32</v>
      </c>
      <c r="U172" t="s">
        <v>33</v>
      </c>
      <c r="V172" t="s">
        <v>2834</v>
      </c>
      <c r="W172" t="s">
        <v>2834</v>
      </c>
      <c r="X172" t="s">
        <v>2834</v>
      </c>
      <c r="Y172" t="s">
        <v>2834</v>
      </c>
      <c r="Z172">
        <v>8</v>
      </c>
      <c r="AA172" t="s">
        <v>2790</v>
      </c>
      <c r="AB172">
        <v>0</v>
      </c>
      <c r="AC172" t="s">
        <v>2794</v>
      </c>
      <c r="AD172">
        <v>5133.96</v>
      </c>
      <c r="AE172">
        <v>1203.96</v>
      </c>
      <c r="AF172">
        <v>0.23450903396208775</v>
      </c>
      <c r="AG172" t="s">
        <v>2828</v>
      </c>
      <c r="AH172">
        <v>2025</v>
      </c>
      <c r="AI172" t="s">
        <v>2836</v>
      </c>
    </row>
    <row r="173" spans="1:35">
      <c r="A173" t="s">
        <v>622</v>
      </c>
      <c r="B173">
        <v>45711</v>
      </c>
      <c r="C173">
        <v>45713</v>
      </c>
      <c r="D173" t="s">
        <v>623</v>
      </c>
      <c r="E173" t="s">
        <v>23</v>
      </c>
      <c r="F173" t="s">
        <v>90</v>
      </c>
      <c r="G173" t="s">
        <v>38</v>
      </c>
      <c r="H173" t="s">
        <v>145</v>
      </c>
      <c r="I173" t="s">
        <v>146</v>
      </c>
      <c r="J173" t="s">
        <v>28</v>
      </c>
      <c r="K173" t="s">
        <v>91</v>
      </c>
      <c r="L173" t="s">
        <v>624</v>
      </c>
      <c r="M173" t="s">
        <v>44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32</v>
      </c>
      <c r="U173" t="s">
        <v>33</v>
      </c>
      <c r="V173" t="s">
        <v>2834</v>
      </c>
      <c r="W173" t="s">
        <v>2834</v>
      </c>
      <c r="X173" t="s">
        <v>2834</v>
      </c>
      <c r="Y173" t="s">
        <v>2834</v>
      </c>
      <c r="Z173">
        <v>2</v>
      </c>
      <c r="AA173" t="s">
        <v>2789</v>
      </c>
      <c r="AB173">
        <v>0.25</v>
      </c>
      <c r="AC173" t="s">
        <v>2794</v>
      </c>
      <c r="AD173">
        <v>15923.512500000001</v>
      </c>
      <c r="AE173">
        <v>4631.7125000000015</v>
      </c>
      <c r="AF173">
        <v>0.29087253832971849</v>
      </c>
      <c r="AG173" t="s">
        <v>2821</v>
      </c>
      <c r="AH173">
        <v>2025</v>
      </c>
      <c r="AI173" t="s">
        <v>2835</v>
      </c>
    </row>
    <row r="174" spans="1:35">
      <c r="A174" t="s">
        <v>625</v>
      </c>
      <c r="B174">
        <v>45871</v>
      </c>
      <c r="C174">
        <v>45879</v>
      </c>
      <c r="D174" t="s">
        <v>626</v>
      </c>
      <c r="E174" t="s">
        <v>23</v>
      </c>
      <c r="F174" t="s">
        <v>90</v>
      </c>
      <c r="G174" t="s">
        <v>25</v>
      </c>
      <c r="H174" t="s">
        <v>350</v>
      </c>
      <c r="I174" t="s">
        <v>351</v>
      </c>
      <c r="J174" t="s">
        <v>41</v>
      </c>
      <c r="K174" t="s">
        <v>57</v>
      </c>
      <c r="L174" t="s">
        <v>627</v>
      </c>
      <c r="M174" t="s">
        <v>44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102</v>
      </c>
      <c r="U174" t="s">
        <v>103</v>
      </c>
      <c r="V174" t="s">
        <v>2834</v>
      </c>
      <c r="W174" t="s">
        <v>2834</v>
      </c>
      <c r="X174" t="s">
        <v>2834</v>
      </c>
      <c r="Y174" t="s">
        <v>2834</v>
      </c>
      <c r="Z174">
        <v>8</v>
      </c>
      <c r="AA174" t="s">
        <v>2789</v>
      </c>
      <c r="AB174">
        <v>0.1</v>
      </c>
      <c r="AC174" t="s">
        <v>2794</v>
      </c>
      <c r="AD174">
        <v>23997.221999999998</v>
      </c>
      <c r="AE174">
        <v>7862.5919999999987</v>
      </c>
      <c r="AF174">
        <v>0.32764592501582057</v>
      </c>
      <c r="AG174" t="s">
        <v>2827</v>
      </c>
      <c r="AH174">
        <v>2025</v>
      </c>
      <c r="AI174" t="s">
        <v>2835</v>
      </c>
    </row>
    <row r="175" spans="1:35">
      <c r="A175" t="s">
        <v>628</v>
      </c>
      <c r="B175">
        <v>45414</v>
      </c>
      <c r="C175">
        <v>45420</v>
      </c>
      <c r="D175" t="s">
        <v>629</v>
      </c>
      <c r="E175" t="s">
        <v>114</v>
      </c>
      <c r="F175" t="s">
        <v>95</v>
      </c>
      <c r="G175" t="s">
        <v>25</v>
      </c>
      <c r="H175" t="s">
        <v>122</v>
      </c>
      <c r="I175" t="s">
        <v>123</v>
      </c>
      <c r="J175" t="s">
        <v>74</v>
      </c>
      <c r="K175" t="s">
        <v>80</v>
      </c>
      <c r="L175" t="s">
        <v>630</v>
      </c>
      <c r="M175" t="s">
        <v>31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32</v>
      </c>
      <c r="U175" t="s">
        <v>33</v>
      </c>
      <c r="V175" t="s">
        <v>2834</v>
      </c>
      <c r="W175" t="s">
        <v>2834</v>
      </c>
      <c r="X175" t="s">
        <v>2834</v>
      </c>
      <c r="Y175" t="s">
        <v>2834</v>
      </c>
      <c r="Z175">
        <v>6</v>
      </c>
      <c r="AA175" t="s">
        <v>2789</v>
      </c>
      <c r="AB175">
        <v>0.25</v>
      </c>
      <c r="AC175" t="s">
        <v>2794</v>
      </c>
      <c r="AD175">
        <v>1734.1875</v>
      </c>
      <c r="AE175">
        <v>348.11750000000006</v>
      </c>
      <c r="AF175">
        <v>0.20073809781237614</v>
      </c>
      <c r="AG175" t="s">
        <v>2824</v>
      </c>
      <c r="AH175">
        <v>2024</v>
      </c>
      <c r="AI175" t="s">
        <v>2835</v>
      </c>
    </row>
    <row r="176" spans="1:35">
      <c r="A176" t="s">
        <v>631</v>
      </c>
      <c r="B176">
        <v>45928</v>
      </c>
      <c r="C176">
        <v>45934</v>
      </c>
      <c r="D176" t="s">
        <v>632</v>
      </c>
      <c r="E176" t="s">
        <v>23</v>
      </c>
      <c r="F176" t="s">
        <v>37</v>
      </c>
      <c r="G176" t="s">
        <v>54</v>
      </c>
      <c r="H176" t="s">
        <v>175</v>
      </c>
      <c r="I176" t="s">
        <v>176</v>
      </c>
      <c r="J176" t="s">
        <v>41</v>
      </c>
      <c r="K176" t="s">
        <v>158</v>
      </c>
      <c r="L176" t="s">
        <v>633</v>
      </c>
      <c r="M176" t="s">
        <v>50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111</v>
      </c>
      <c r="U176" t="s">
        <v>103</v>
      </c>
      <c r="V176" t="s">
        <v>2834</v>
      </c>
      <c r="W176" t="s">
        <v>2834</v>
      </c>
      <c r="X176" t="s">
        <v>2834</v>
      </c>
      <c r="Y176" t="s">
        <v>2834</v>
      </c>
      <c r="Z176">
        <v>6</v>
      </c>
      <c r="AA176" t="s">
        <v>2789</v>
      </c>
      <c r="AB176">
        <v>0.15</v>
      </c>
      <c r="AC176" t="s">
        <v>2794</v>
      </c>
      <c r="AD176">
        <v>8264.7029999999995</v>
      </c>
      <c r="AE176">
        <v>3495.9529999999995</v>
      </c>
      <c r="AF176">
        <v>0.42299801940856191</v>
      </c>
      <c r="AG176" t="s">
        <v>2828</v>
      </c>
      <c r="AH176">
        <v>2025</v>
      </c>
      <c r="AI176" t="s">
        <v>2835</v>
      </c>
    </row>
    <row r="177" spans="1:35">
      <c r="A177" t="s">
        <v>634</v>
      </c>
      <c r="B177">
        <v>45318</v>
      </c>
      <c r="C177">
        <v>45325</v>
      </c>
      <c r="D177" t="s">
        <v>635</v>
      </c>
      <c r="E177" t="s">
        <v>53</v>
      </c>
      <c r="F177" t="s">
        <v>37</v>
      </c>
      <c r="G177" t="s">
        <v>38</v>
      </c>
      <c r="H177" t="s">
        <v>145</v>
      </c>
      <c r="I177" t="s">
        <v>146</v>
      </c>
      <c r="J177" t="s">
        <v>74</v>
      </c>
      <c r="K177" t="s">
        <v>274</v>
      </c>
      <c r="L177" t="s">
        <v>636</v>
      </c>
      <c r="M177" t="s">
        <v>44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32</v>
      </c>
      <c r="U177" t="s">
        <v>103</v>
      </c>
      <c r="V177" t="s">
        <v>2834</v>
      </c>
      <c r="W177" t="s">
        <v>2834</v>
      </c>
      <c r="X177" t="s">
        <v>2834</v>
      </c>
      <c r="Y177" t="s">
        <v>2834</v>
      </c>
      <c r="Z177">
        <v>7</v>
      </c>
      <c r="AA177" t="s">
        <v>2789</v>
      </c>
      <c r="AB177">
        <v>0.15</v>
      </c>
      <c r="AC177" t="s">
        <v>2794</v>
      </c>
      <c r="AD177">
        <v>15906.849000000002</v>
      </c>
      <c r="AE177">
        <v>4892.3890000000029</v>
      </c>
      <c r="AF177">
        <v>0.30756493633654297</v>
      </c>
      <c r="AG177" t="s">
        <v>2820</v>
      </c>
      <c r="AH177">
        <v>2024</v>
      </c>
      <c r="AI177" t="s">
        <v>2835</v>
      </c>
    </row>
    <row r="178" spans="1:35">
      <c r="A178" t="s">
        <v>637</v>
      </c>
      <c r="B178">
        <v>45734</v>
      </c>
      <c r="C178">
        <v>45742</v>
      </c>
      <c r="D178" t="s">
        <v>638</v>
      </c>
      <c r="E178" t="s">
        <v>71</v>
      </c>
      <c r="F178" t="s">
        <v>90</v>
      </c>
      <c r="G178" t="s">
        <v>38</v>
      </c>
      <c r="H178" t="s">
        <v>228</v>
      </c>
      <c r="I178" t="s">
        <v>229</v>
      </c>
      <c r="J178" t="s">
        <v>41</v>
      </c>
      <c r="K178" t="s">
        <v>158</v>
      </c>
      <c r="L178" t="s">
        <v>639</v>
      </c>
      <c r="M178" t="s">
        <v>59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32</v>
      </c>
      <c r="U178" t="s">
        <v>33</v>
      </c>
      <c r="V178" t="s">
        <v>2834</v>
      </c>
      <c r="W178" t="s">
        <v>2834</v>
      </c>
      <c r="X178" t="s">
        <v>2834</v>
      </c>
      <c r="Y178" t="s">
        <v>2834</v>
      </c>
      <c r="Z178">
        <v>8</v>
      </c>
      <c r="AA178" t="s">
        <v>2789</v>
      </c>
      <c r="AB178">
        <v>0.15</v>
      </c>
      <c r="AC178" t="s">
        <v>2794</v>
      </c>
      <c r="AD178">
        <v>24229.011999999999</v>
      </c>
      <c r="AE178">
        <v>10318.371999999999</v>
      </c>
      <c r="AF178">
        <v>0.42586845885420338</v>
      </c>
      <c r="AG178" t="s">
        <v>2822</v>
      </c>
      <c r="AH178">
        <v>2025</v>
      </c>
      <c r="AI178" t="s">
        <v>2835</v>
      </c>
    </row>
    <row r="179" spans="1:35">
      <c r="A179" t="s">
        <v>640</v>
      </c>
      <c r="B179">
        <v>45444</v>
      </c>
      <c r="C179">
        <v>45446</v>
      </c>
      <c r="D179" t="s">
        <v>641</v>
      </c>
      <c r="E179" t="s">
        <v>132</v>
      </c>
      <c r="F179" t="s">
        <v>95</v>
      </c>
      <c r="G179" t="s">
        <v>2791</v>
      </c>
      <c r="H179" t="s">
        <v>145</v>
      </c>
      <c r="I179" t="s">
        <v>146</v>
      </c>
      <c r="J179" t="s">
        <v>28</v>
      </c>
      <c r="K179" t="s">
        <v>48</v>
      </c>
      <c r="L179" t="s">
        <v>642</v>
      </c>
      <c r="M179" t="s">
        <v>44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32</v>
      </c>
      <c r="U179" t="s">
        <v>33</v>
      </c>
      <c r="V179" t="s">
        <v>2834</v>
      </c>
      <c r="W179" t="s">
        <v>2834</v>
      </c>
      <c r="X179" t="s">
        <v>2834</v>
      </c>
      <c r="Y179" t="s">
        <v>2834</v>
      </c>
      <c r="Z179">
        <v>2</v>
      </c>
      <c r="AA179" t="s">
        <v>2789</v>
      </c>
      <c r="AB179">
        <v>0</v>
      </c>
      <c r="AC179" t="s">
        <v>2794</v>
      </c>
      <c r="AD179">
        <v>31039.599999999999</v>
      </c>
      <c r="AE179">
        <v>10172.879999999997</v>
      </c>
      <c r="AF179">
        <v>0.32773875952009685</v>
      </c>
      <c r="AG179" t="s">
        <v>2825</v>
      </c>
      <c r="AH179">
        <v>2024</v>
      </c>
      <c r="AI179" t="s">
        <v>2838</v>
      </c>
    </row>
    <row r="180" spans="1:35">
      <c r="A180" t="s">
        <v>643</v>
      </c>
      <c r="B180">
        <v>45565</v>
      </c>
      <c r="C180">
        <v>45565</v>
      </c>
      <c r="D180" t="s">
        <v>644</v>
      </c>
      <c r="E180" t="s">
        <v>47</v>
      </c>
      <c r="F180" t="s">
        <v>90</v>
      </c>
      <c r="G180" t="s">
        <v>54</v>
      </c>
      <c r="H180" t="s">
        <v>55</v>
      </c>
      <c r="I180" t="s">
        <v>56</v>
      </c>
      <c r="J180" t="s">
        <v>28</v>
      </c>
      <c r="K180" t="s">
        <v>48</v>
      </c>
      <c r="L180" t="s">
        <v>645</v>
      </c>
      <c r="M180" t="s">
        <v>59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32</v>
      </c>
      <c r="U180" t="s">
        <v>33</v>
      </c>
      <c r="V180" t="s">
        <v>2834</v>
      </c>
      <c r="W180" t="s">
        <v>2834</v>
      </c>
      <c r="X180" t="s">
        <v>2834</v>
      </c>
      <c r="Y180" t="s">
        <v>2834</v>
      </c>
      <c r="Z180">
        <v>0</v>
      </c>
      <c r="AA180" t="s">
        <v>2789</v>
      </c>
      <c r="AB180">
        <v>0</v>
      </c>
      <c r="AC180" t="s">
        <v>2794</v>
      </c>
      <c r="AD180">
        <v>13126.96</v>
      </c>
      <c r="AE180">
        <v>2394.5199999999986</v>
      </c>
      <c r="AF180">
        <v>0.18241237879905162</v>
      </c>
      <c r="AG180" t="s">
        <v>2828</v>
      </c>
      <c r="AH180">
        <v>2024</v>
      </c>
      <c r="AI180" t="s">
        <v>2835</v>
      </c>
    </row>
    <row r="181" spans="1:35">
      <c r="A181" t="s">
        <v>646</v>
      </c>
      <c r="B181">
        <v>45366</v>
      </c>
      <c r="C181">
        <v>45370</v>
      </c>
      <c r="D181" t="s">
        <v>647</v>
      </c>
      <c r="E181" t="s">
        <v>62</v>
      </c>
      <c r="F181" t="s">
        <v>37</v>
      </c>
      <c r="G181" t="s">
        <v>54</v>
      </c>
      <c r="H181" t="s">
        <v>247</v>
      </c>
      <c r="I181" t="s">
        <v>248</v>
      </c>
      <c r="J181" t="s">
        <v>41</v>
      </c>
      <c r="K181" t="s">
        <v>57</v>
      </c>
      <c r="L181" t="s">
        <v>648</v>
      </c>
      <c r="M181" t="s">
        <v>59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102</v>
      </c>
      <c r="U181" t="s">
        <v>103</v>
      </c>
      <c r="V181" t="s">
        <v>2834</v>
      </c>
      <c r="W181" t="s">
        <v>2834</v>
      </c>
      <c r="X181" t="s">
        <v>2834</v>
      </c>
      <c r="Y181" t="s">
        <v>2834</v>
      </c>
      <c r="Z181">
        <v>4</v>
      </c>
      <c r="AA181" t="s">
        <v>2789</v>
      </c>
      <c r="AB181">
        <v>0.25</v>
      </c>
      <c r="AC181" t="s">
        <v>2794</v>
      </c>
      <c r="AD181">
        <v>9558.9000000000015</v>
      </c>
      <c r="AE181">
        <v>4042.1400000000012</v>
      </c>
      <c r="AF181">
        <v>0.42286664783604816</v>
      </c>
      <c r="AG181" t="s">
        <v>2822</v>
      </c>
      <c r="AH181">
        <v>2024</v>
      </c>
      <c r="AI181" t="s">
        <v>2835</v>
      </c>
    </row>
    <row r="182" spans="1:35">
      <c r="A182" t="s">
        <v>649</v>
      </c>
      <c r="B182">
        <v>45530</v>
      </c>
      <c r="C182">
        <v>45530</v>
      </c>
      <c r="D182" t="s">
        <v>650</v>
      </c>
      <c r="E182" t="s">
        <v>36</v>
      </c>
      <c r="F182" t="s">
        <v>95</v>
      </c>
      <c r="G182" t="s">
        <v>25</v>
      </c>
      <c r="H182" t="s">
        <v>136</v>
      </c>
      <c r="I182" t="s">
        <v>137</v>
      </c>
      <c r="J182" t="s">
        <v>28</v>
      </c>
      <c r="K182" t="s">
        <v>153</v>
      </c>
      <c r="L182" t="s">
        <v>651</v>
      </c>
      <c r="M182" t="s">
        <v>50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32</v>
      </c>
      <c r="U182" t="s">
        <v>33</v>
      </c>
      <c r="V182" t="s">
        <v>2834</v>
      </c>
      <c r="W182" t="s">
        <v>2834</v>
      </c>
      <c r="X182" t="s">
        <v>2834</v>
      </c>
      <c r="Y182" t="s">
        <v>2834</v>
      </c>
      <c r="Z182">
        <v>0</v>
      </c>
      <c r="AA182" t="s">
        <v>2789</v>
      </c>
      <c r="AB182">
        <v>0.1</v>
      </c>
      <c r="AC182" t="s">
        <v>2794</v>
      </c>
      <c r="AD182">
        <v>5320.9170000000004</v>
      </c>
      <c r="AE182">
        <v>2279.4170000000004</v>
      </c>
      <c r="AF182">
        <v>0.42838800154183954</v>
      </c>
      <c r="AG182" t="s">
        <v>2827</v>
      </c>
      <c r="AH182">
        <v>2024</v>
      </c>
      <c r="AI182" t="s">
        <v>2835</v>
      </c>
    </row>
    <row r="183" spans="1:35">
      <c r="A183" t="s">
        <v>652</v>
      </c>
      <c r="B183">
        <v>45909</v>
      </c>
      <c r="C183">
        <v>45910</v>
      </c>
      <c r="D183" t="s">
        <v>653</v>
      </c>
      <c r="E183" t="s">
        <v>114</v>
      </c>
      <c r="F183" t="s">
        <v>95</v>
      </c>
      <c r="G183" t="s">
        <v>54</v>
      </c>
      <c r="H183" t="s">
        <v>247</v>
      </c>
      <c r="I183" t="s">
        <v>248</v>
      </c>
      <c r="J183" t="s">
        <v>28</v>
      </c>
      <c r="K183" t="s">
        <v>48</v>
      </c>
      <c r="L183" t="s">
        <v>654</v>
      </c>
      <c r="M183" t="s">
        <v>31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32</v>
      </c>
      <c r="U183" t="s">
        <v>33</v>
      </c>
      <c r="V183" t="s">
        <v>2834</v>
      </c>
      <c r="W183" t="s">
        <v>2834</v>
      </c>
      <c r="X183" t="s">
        <v>2834</v>
      </c>
      <c r="Y183" t="s">
        <v>2834</v>
      </c>
      <c r="Z183">
        <v>1</v>
      </c>
      <c r="AA183" t="s">
        <v>2789</v>
      </c>
      <c r="AB183">
        <v>0</v>
      </c>
      <c r="AC183" t="s">
        <v>2794</v>
      </c>
      <c r="AD183">
        <v>10205.799999999999</v>
      </c>
      <c r="AE183">
        <v>4219.4899999999989</v>
      </c>
      <c r="AF183">
        <v>0.41344039663720622</v>
      </c>
      <c r="AG183" t="s">
        <v>2828</v>
      </c>
      <c r="AH183">
        <v>2025</v>
      </c>
      <c r="AI183" t="s">
        <v>2835</v>
      </c>
    </row>
    <row r="184" spans="1:35">
      <c r="A184" t="s">
        <v>655</v>
      </c>
      <c r="B184">
        <v>45581</v>
      </c>
      <c r="C184">
        <v>45581</v>
      </c>
      <c r="D184" t="s">
        <v>656</v>
      </c>
      <c r="E184" t="s">
        <v>62</v>
      </c>
      <c r="F184" t="s">
        <v>95</v>
      </c>
      <c r="G184" t="s">
        <v>38</v>
      </c>
      <c r="H184" t="s">
        <v>145</v>
      </c>
      <c r="I184" t="s">
        <v>146</v>
      </c>
      <c r="J184" t="s">
        <v>74</v>
      </c>
      <c r="K184" t="s">
        <v>274</v>
      </c>
      <c r="L184" t="s">
        <v>657</v>
      </c>
      <c r="M184" t="s">
        <v>59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32</v>
      </c>
      <c r="U184" t="s">
        <v>33</v>
      </c>
      <c r="V184" t="s">
        <v>2834</v>
      </c>
      <c r="W184" t="s">
        <v>2834</v>
      </c>
      <c r="X184" t="s">
        <v>2834</v>
      </c>
      <c r="Y184" t="s">
        <v>2834</v>
      </c>
      <c r="Z184">
        <v>0</v>
      </c>
      <c r="AA184" t="s">
        <v>2789</v>
      </c>
      <c r="AB184">
        <v>0</v>
      </c>
      <c r="AC184" t="s">
        <v>2794</v>
      </c>
      <c r="AD184">
        <v>5430.3899999999994</v>
      </c>
      <c r="AE184">
        <v>1722.7299999999996</v>
      </c>
      <c r="AF184">
        <v>0.31723872502711586</v>
      </c>
      <c r="AG184" t="s">
        <v>2829</v>
      </c>
      <c r="AH184">
        <v>2024</v>
      </c>
      <c r="AI184" t="s">
        <v>2835</v>
      </c>
    </row>
    <row r="185" spans="1:35">
      <c r="A185" t="s">
        <v>658</v>
      </c>
      <c r="B185">
        <v>45832</v>
      </c>
      <c r="C185">
        <v>45835</v>
      </c>
      <c r="D185" t="s">
        <v>659</v>
      </c>
      <c r="E185" t="s">
        <v>71</v>
      </c>
      <c r="F185" t="s">
        <v>95</v>
      </c>
      <c r="G185" t="s">
        <v>54</v>
      </c>
      <c r="H185" t="s">
        <v>55</v>
      </c>
      <c r="I185" t="s">
        <v>56</v>
      </c>
      <c r="J185" t="s">
        <v>74</v>
      </c>
      <c r="K185" t="s">
        <v>80</v>
      </c>
      <c r="L185" t="s">
        <v>660</v>
      </c>
      <c r="M185" t="s">
        <v>59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32</v>
      </c>
      <c r="U185" t="s">
        <v>103</v>
      </c>
      <c r="V185" t="s">
        <v>2834</v>
      </c>
      <c r="W185" t="s">
        <v>2834</v>
      </c>
      <c r="X185" t="s">
        <v>2834</v>
      </c>
      <c r="Y185" t="s">
        <v>2834</v>
      </c>
      <c r="Z185">
        <v>3</v>
      </c>
      <c r="AA185" t="s">
        <v>2789</v>
      </c>
      <c r="AB185">
        <v>0.2</v>
      </c>
      <c r="AC185" t="s">
        <v>2794</v>
      </c>
      <c r="AD185">
        <v>12907.216</v>
      </c>
      <c r="AE185">
        <v>4579.3260000000009</v>
      </c>
      <c r="AF185">
        <v>0.3547880503433119</v>
      </c>
      <c r="AG185" t="s">
        <v>2825</v>
      </c>
      <c r="AH185">
        <v>2025</v>
      </c>
      <c r="AI185" t="s">
        <v>2835</v>
      </c>
    </row>
    <row r="186" spans="1:35">
      <c r="A186" t="s">
        <v>661</v>
      </c>
      <c r="B186">
        <v>45384</v>
      </c>
      <c r="C186">
        <v>45388</v>
      </c>
      <c r="D186" t="s">
        <v>662</v>
      </c>
      <c r="E186" t="s">
        <v>71</v>
      </c>
      <c r="F186" t="s">
        <v>90</v>
      </c>
      <c r="G186" t="s">
        <v>63</v>
      </c>
      <c r="H186" t="s">
        <v>72</v>
      </c>
      <c r="I186" t="s">
        <v>73</v>
      </c>
      <c r="J186" t="s">
        <v>41</v>
      </c>
      <c r="K186" t="s">
        <v>158</v>
      </c>
      <c r="L186" t="s">
        <v>663</v>
      </c>
      <c r="M186" t="s">
        <v>59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102</v>
      </c>
      <c r="U186" t="s">
        <v>103</v>
      </c>
      <c r="V186" t="s">
        <v>2834</v>
      </c>
      <c r="W186" t="s">
        <v>2834</v>
      </c>
      <c r="X186" t="s">
        <v>2834</v>
      </c>
      <c r="Y186" t="s">
        <v>2834</v>
      </c>
      <c r="Z186">
        <v>4</v>
      </c>
      <c r="AA186" t="s">
        <v>2789</v>
      </c>
      <c r="AB186">
        <v>0</v>
      </c>
      <c r="AC186" t="s">
        <v>2794</v>
      </c>
      <c r="AD186">
        <v>1777.96</v>
      </c>
      <c r="AE186">
        <v>756.80000000000007</v>
      </c>
      <c r="AF186">
        <v>0.42565637022205227</v>
      </c>
      <c r="AG186" t="s">
        <v>2823</v>
      </c>
      <c r="AH186">
        <v>2024</v>
      </c>
      <c r="AI186" t="s">
        <v>2835</v>
      </c>
    </row>
    <row r="187" spans="1:35">
      <c r="A187" t="s">
        <v>664</v>
      </c>
      <c r="B187">
        <v>45601</v>
      </c>
      <c r="C187">
        <v>45609</v>
      </c>
      <c r="D187" t="s">
        <v>665</v>
      </c>
      <c r="E187" t="s">
        <v>53</v>
      </c>
      <c r="F187" t="s">
        <v>24</v>
      </c>
      <c r="G187" t="s">
        <v>2791</v>
      </c>
      <c r="H187" t="s">
        <v>122</v>
      </c>
      <c r="I187" t="s">
        <v>123</v>
      </c>
      <c r="J187" t="s">
        <v>28</v>
      </c>
      <c r="K187" t="s">
        <v>91</v>
      </c>
      <c r="L187" t="s">
        <v>666</v>
      </c>
      <c r="M187" t="s">
        <v>31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32</v>
      </c>
      <c r="U187" t="s">
        <v>33</v>
      </c>
      <c r="V187" t="s">
        <v>2834</v>
      </c>
      <c r="W187" t="s">
        <v>2834</v>
      </c>
      <c r="X187" t="s">
        <v>2834</v>
      </c>
      <c r="Y187" t="s">
        <v>2834</v>
      </c>
      <c r="Z187">
        <v>8</v>
      </c>
      <c r="AA187" t="s">
        <v>2789</v>
      </c>
      <c r="AB187">
        <v>0.2</v>
      </c>
      <c r="AC187" t="s">
        <v>2794</v>
      </c>
      <c r="AD187">
        <v>1605.0720000000001</v>
      </c>
      <c r="AE187">
        <v>267.79200000000014</v>
      </c>
      <c r="AF187">
        <v>0.16684111366966722</v>
      </c>
      <c r="AG187" t="s">
        <v>2830</v>
      </c>
      <c r="AH187">
        <v>2024</v>
      </c>
      <c r="AI187" t="s">
        <v>2838</v>
      </c>
    </row>
    <row r="188" spans="1:35">
      <c r="A188" t="s">
        <v>667</v>
      </c>
      <c r="B188">
        <v>45492</v>
      </c>
      <c r="C188">
        <v>45493</v>
      </c>
      <c r="D188" t="s">
        <v>263</v>
      </c>
      <c r="E188" t="s">
        <v>71</v>
      </c>
      <c r="F188" t="s">
        <v>24</v>
      </c>
      <c r="G188" t="s">
        <v>54</v>
      </c>
      <c r="H188" t="s">
        <v>247</v>
      </c>
      <c r="I188" t="s">
        <v>248</v>
      </c>
      <c r="J188" t="s">
        <v>41</v>
      </c>
      <c r="K188" t="s">
        <v>42</v>
      </c>
      <c r="L188" t="s">
        <v>668</v>
      </c>
      <c r="M188" t="s">
        <v>50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32</v>
      </c>
      <c r="U188" t="s">
        <v>33</v>
      </c>
      <c r="V188" t="s">
        <v>2834</v>
      </c>
      <c r="W188" t="s">
        <v>2834</v>
      </c>
      <c r="X188" t="s">
        <v>2834</v>
      </c>
      <c r="Y188" t="s">
        <v>2834</v>
      </c>
      <c r="Z188">
        <v>1</v>
      </c>
      <c r="AA188" t="s">
        <v>2789</v>
      </c>
      <c r="AB188">
        <v>0.05</v>
      </c>
      <c r="AC188" t="s">
        <v>2794</v>
      </c>
      <c r="AD188">
        <v>23996.059499999996</v>
      </c>
      <c r="AE188">
        <v>3828.7794999999969</v>
      </c>
      <c r="AF188">
        <v>0.15955867670689838</v>
      </c>
      <c r="AG188" t="s">
        <v>2826</v>
      </c>
      <c r="AH188">
        <v>2024</v>
      </c>
      <c r="AI188" t="s">
        <v>2835</v>
      </c>
    </row>
    <row r="189" spans="1:35">
      <c r="A189" t="s">
        <v>669</v>
      </c>
      <c r="B189">
        <v>45778</v>
      </c>
      <c r="C189">
        <v>45779</v>
      </c>
      <c r="D189" t="s">
        <v>670</v>
      </c>
      <c r="E189" t="s">
        <v>36</v>
      </c>
      <c r="F189" t="s">
        <v>24</v>
      </c>
      <c r="G189" t="s">
        <v>63</v>
      </c>
      <c r="H189" t="s">
        <v>72</v>
      </c>
      <c r="I189" t="s">
        <v>73</v>
      </c>
      <c r="J189" t="s">
        <v>41</v>
      </c>
      <c r="K189" t="s">
        <v>66</v>
      </c>
      <c r="L189" t="s">
        <v>671</v>
      </c>
      <c r="M189" t="s">
        <v>44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32</v>
      </c>
      <c r="U189" t="s">
        <v>103</v>
      </c>
      <c r="V189" t="s">
        <v>2834</v>
      </c>
      <c r="W189" t="s">
        <v>2834</v>
      </c>
      <c r="X189" t="s">
        <v>2834</v>
      </c>
      <c r="Y189" t="s">
        <v>2834</v>
      </c>
      <c r="Z189">
        <v>1</v>
      </c>
      <c r="AA189" t="s">
        <v>2789</v>
      </c>
      <c r="AB189">
        <v>0</v>
      </c>
      <c r="AC189" t="s">
        <v>2794</v>
      </c>
      <c r="AD189">
        <v>8717.2199999999993</v>
      </c>
      <c r="AE189">
        <v>2501.2599999999993</v>
      </c>
      <c r="AF189">
        <v>0.28693321953558582</v>
      </c>
      <c r="AG189" t="s">
        <v>2824</v>
      </c>
      <c r="AH189">
        <v>2025</v>
      </c>
      <c r="AI189" t="s">
        <v>2835</v>
      </c>
    </row>
    <row r="190" spans="1:35">
      <c r="A190" t="s">
        <v>672</v>
      </c>
      <c r="B190">
        <v>45798</v>
      </c>
      <c r="C190">
        <v>45805</v>
      </c>
      <c r="D190" t="s">
        <v>673</v>
      </c>
      <c r="E190" t="s">
        <v>114</v>
      </c>
      <c r="F190" t="s">
        <v>90</v>
      </c>
      <c r="G190" t="s">
        <v>38</v>
      </c>
      <c r="H190" t="s">
        <v>99</v>
      </c>
      <c r="I190" t="s">
        <v>100</v>
      </c>
      <c r="J190" t="s">
        <v>41</v>
      </c>
      <c r="K190" t="s">
        <v>158</v>
      </c>
      <c r="L190" t="s">
        <v>674</v>
      </c>
      <c r="M190" t="s">
        <v>44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32</v>
      </c>
      <c r="U190" t="s">
        <v>33</v>
      </c>
      <c r="V190" t="s">
        <v>2834</v>
      </c>
      <c r="W190" t="s">
        <v>2834</v>
      </c>
      <c r="X190" t="s">
        <v>2834</v>
      </c>
      <c r="Y190" t="s">
        <v>2834</v>
      </c>
      <c r="Z190">
        <v>7</v>
      </c>
      <c r="AA190" t="s">
        <v>2789</v>
      </c>
      <c r="AB190">
        <v>0.1</v>
      </c>
      <c r="AC190" t="s">
        <v>2794</v>
      </c>
      <c r="AD190">
        <v>6407.2260000000006</v>
      </c>
      <c r="AE190">
        <v>1484.1360000000004</v>
      </c>
      <c r="AF190">
        <v>0.23163471992403581</v>
      </c>
      <c r="AG190" t="s">
        <v>2824</v>
      </c>
      <c r="AH190">
        <v>2025</v>
      </c>
      <c r="AI190" t="s">
        <v>2835</v>
      </c>
    </row>
    <row r="191" spans="1:35">
      <c r="A191" t="s">
        <v>675</v>
      </c>
      <c r="B191">
        <v>45783</v>
      </c>
      <c r="C191">
        <v>45784</v>
      </c>
      <c r="D191" t="s">
        <v>676</v>
      </c>
      <c r="E191" t="s">
        <v>53</v>
      </c>
      <c r="F191" t="s">
        <v>24</v>
      </c>
      <c r="G191" t="s">
        <v>63</v>
      </c>
      <c r="H191" t="s">
        <v>26</v>
      </c>
      <c r="I191" t="s">
        <v>109</v>
      </c>
      <c r="J191" t="s">
        <v>41</v>
      </c>
      <c r="K191" t="s">
        <v>158</v>
      </c>
      <c r="L191" t="s">
        <v>677</v>
      </c>
      <c r="M191" t="s">
        <v>50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32</v>
      </c>
      <c r="U191" t="s">
        <v>33</v>
      </c>
      <c r="V191" t="s">
        <v>2834</v>
      </c>
      <c r="W191" t="s">
        <v>2834</v>
      </c>
      <c r="X191" t="s">
        <v>2834</v>
      </c>
      <c r="Y191" t="s">
        <v>2834</v>
      </c>
      <c r="Z191">
        <v>1</v>
      </c>
      <c r="AA191" t="s">
        <v>2789</v>
      </c>
      <c r="AB191">
        <v>0</v>
      </c>
      <c r="AC191" t="s">
        <v>2796</v>
      </c>
      <c r="AD191">
        <v>29864.159999999996</v>
      </c>
      <c r="AE191">
        <v>12991.769999999997</v>
      </c>
      <c r="AF191">
        <v>0.43502881045373448</v>
      </c>
      <c r="AG191" t="s">
        <v>2824</v>
      </c>
      <c r="AH191">
        <v>2025</v>
      </c>
      <c r="AI191" t="s">
        <v>2838</v>
      </c>
    </row>
    <row r="192" spans="1:35">
      <c r="A192" t="s">
        <v>678</v>
      </c>
      <c r="B192">
        <v>45767</v>
      </c>
      <c r="C192">
        <v>45768</v>
      </c>
      <c r="D192" t="s">
        <v>679</v>
      </c>
      <c r="E192" t="s">
        <v>89</v>
      </c>
      <c r="F192" t="s">
        <v>24</v>
      </c>
      <c r="G192" t="s">
        <v>54</v>
      </c>
      <c r="H192" t="s">
        <v>247</v>
      </c>
      <c r="I192" t="s">
        <v>248</v>
      </c>
      <c r="J192" t="s">
        <v>28</v>
      </c>
      <c r="K192" t="s">
        <v>124</v>
      </c>
      <c r="L192" t="s">
        <v>680</v>
      </c>
      <c r="M192" t="s">
        <v>50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32</v>
      </c>
      <c r="U192" t="s">
        <v>33</v>
      </c>
      <c r="V192" t="s">
        <v>2834</v>
      </c>
      <c r="W192" t="s">
        <v>2834</v>
      </c>
      <c r="X192" t="s">
        <v>2834</v>
      </c>
      <c r="Y192" t="s">
        <v>2834</v>
      </c>
      <c r="Z192">
        <v>1</v>
      </c>
      <c r="AA192" t="s">
        <v>2789</v>
      </c>
      <c r="AB192">
        <v>0.1</v>
      </c>
      <c r="AC192" t="s">
        <v>2794</v>
      </c>
      <c r="AD192">
        <v>1458.2429999999999</v>
      </c>
      <c r="AE192">
        <v>514.92299999999989</v>
      </c>
      <c r="AF192">
        <v>0.35311192990468659</v>
      </c>
      <c r="AG192" t="s">
        <v>2823</v>
      </c>
      <c r="AH192">
        <v>2025</v>
      </c>
      <c r="AI192" t="s">
        <v>2835</v>
      </c>
    </row>
    <row r="193" spans="1:35">
      <c r="A193" t="s">
        <v>681</v>
      </c>
      <c r="B193">
        <v>45584</v>
      </c>
      <c r="C193">
        <v>45589</v>
      </c>
      <c r="D193" t="s">
        <v>682</v>
      </c>
      <c r="E193" t="s">
        <v>132</v>
      </c>
      <c r="F193" t="s">
        <v>37</v>
      </c>
      <c r="G193" t="s">
        <v>54</v>
      </c>
      <c r="H193" t="s">
        <v>247</v>
      </c>
      <c r="I193" t="s">
        <v>248</v>
      </c>
      <c r="J193" t="s">
        <v>41</v>
      </c>
      <c r="K193" t="s">
        <v>158</v>
      </c>
      <c r="L193" t="s">
        <v>683</v>
      </c>
      <c r="M193" t="s">
        <v>31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32</v>
      </c>
      <c r="U193" t="s">
        <v>33</v>
      </c>
      <c r="V193" t="s">
        <v>2834</v>
      </c>
      <c r="W193" t="s">
        <v>2834</v>
      </c>
      <c r="X193" t="s">
        <v>2834</v>
      </c>
      <c r="Y193" t="s">
        <v>2834</v>
      </c>
      <c r="Z193">
        <v>5</v>
      </c>
      <c r="AA193" t="s">
        <v>2789</v>
      </c>
      <c r="AB193">
        <v>0.65</v>
      </c>
      <c r="AC193" t="s">
        <v>2798</v>
      </c>
      <c r="AD193">
        <v>9047.64</v>
      </c>
      <c r="AE193">
        <v>-10350.040000000001</v>
      </c>
      <c r="AF193">
        <v>-1.1439491403283069</v>
      </c>
      <c r="AG193" t="s">
        <v>2829</v>
      </c>
      <c r="AH193">
        <v>2024</v>
      </c>
      <c r="AI193" t="s">
        <v>2836</v>
      </c>
    </row>
    <row r="194" spans="1:35">
      <c r="A194" t="s">
        <v>684</v>
      </c>
      <c r="B194">
        <v>45635</v>
      </c>
      <c r="C194">
        <v>45642</v>
      </c>
      <c r="D194" t="s">
        <v>685</v>
      </c>
      <c r="E194" t="s">
        <v>47</v>
      </c>
      <c r="F194" t="s">
        <v>95</v>
      </c>
      <c r="G194" t="s">
        <v>63</v>
      </c>
      <c r="H194" t="s">
        <v>180</v>
      </c>
      <c r="I194" t="s">
        <v>181</v>
      </c>
      <c r="J194" t="s">
        <v>41</v>
      </c>
      <c r="K194" t="s">
        <v>66</v>
      </c>
      <c r="L194" t="s">
        <v>686</v>
      </c>
      <c r="M194" t="s">
        <v>50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32</v>
      </c>
      <c r="U194" t="s">
        <v>33</v>
      </c>
      <c r="V194" t="s">
        <v>2834</v>
      </c>
      <c r="W194" t="s">
        <v>2834</v>
      </c>
      <c r="X194" t="s">
        <v>2834</v>
      </c>
      <c r="Y194" t="s">
        <v>2834</v>
      </c>
      <c r="Z194">
        <v>7</v>
      </c>
      <c r="AA194" t="s">
        <v>2789</v>
      </c>
      <c r="AB194">
        <v>0</v>
      </c>
      <c r="AC194" t="s">
        <v>2794</v>
      </c>
      <c r="AD194">
        <v>8764.1200000000008</v>
      </c>
      <c r="AE194">
        <v>1544.0700000000006</v>
      </c>
      <c r="AF194">
        <v>0.17618083732308554</v>
      </c>
      <c r="AG194" t="s">
        <v>2831</v>
      </c>
      <c r="AH194">
        <v>2024</v>
      </c>
      <c r="AI194" t="s">
        <v>2835</v>
      </c>
    </row>
    <row r="195" spans="1:35">
      <c r="A195" t="s">
        <v>687</v>
      </c>
      <c r="B195">
        <v>45466</v>
      </c>
      <c r="C195">
        <v>45471</v>
      </c>
      <c r="D195" t="s">
        <v>688</v>
      </c>
      <c r="E195" t="s">
        <v>114</v>
      </c>
      <c r="F195" t="s">
        <v>37</v>
      </c>
      <c r="G195" t="s">
        <v>25</v>
      </c>
      <c r="H195" t="s">
        <v>122</v>
      </c>
      <c r="I195" t="s">
        <v>123</v>
      </c>
      <c r="J195" t="s">
        <v>74</v>
      </c>
      <c r="K195" t="s">
        <v>80</v>
      </c>
      <c r="L195" t="s">
        <v>689</v>
      </c>
      <c r="M195" t="s">
        <v>44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102</v>
      </c>
      <c r="U195" t="s">
        <v>103</v>
      </c>
      <c r="V195" t="s">
        <v>2834</v>
      </c>
      <c r="W195" t="s">
        <v>2834</v>
      </c>
      <c r="X195" t="s">
        <v>2834</v>
      </c>
      <c r="Y195" t="s">
        <v>2834</v>
      </c>
      <c r="Z195">
        <v>5</v>
      </c>
      <c r="AA195" t="s">
        <v>2789</v>
      </c>
      <c r="AB195">
        <v>0.2</v>
      </c>
      <c r="AC195" t="s">
        <v>2794</v>
      </c>
      <c r="AD195">
        <v>9391.8240000000005</v>
      </c>
      <c r="AE195">
        <v>3378.6040000000003</v>
      </c>
      <c r="AF195">
        <v>0.35973885370935399</v>
      </c>
      <c r="AG195" t="s">
        <v>2825</v>
      </c>
      <c r="AH195">
        <v>2024</v>
      </c>
      <c r="AI195" t="s">
        <v>2835</v>
      </c>
    </row>
    <row r="196" spans="1:35">
      <c r="A196" t="s">
        <v>690</v>
      </c>
      <c r="B196">
        <v>45685</v>
      </c>
      <c r="C196">
        <v>45688</v>
      </c>
      <c r="D196" t="s">
        <v>691</v>
      </c>
      <c r="E196" t="s">
        <v>114</v>
      </c>
      <c r="F196" t="s">
        <v>24</v>
      </c>
      <c r="G196" t="s">
        <v>63</v>
      </c>
      <c r="H196" t="s">
        <v>64</v>
      </c>
      <c r="I196" t="s">
        <v>65</v>
      </c>
      <c r="J196" t="s">
        <v>41</v>
      </c>
      <c r="K196" t="s">
        <v>57</v>
      </c>
      <c r="L196" t="s">
        <v>692</v>
      </c>
      <c r="M196" t="s">
        <v>50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111</v>
      </c>
      <c r="U196" t="s">
        <v>103</v>
      </c>
      <c r="V196" t="s">
        <v>2834</v>
      </c>
      <c r="W196" t="s">
        <v>2834</v>
      </c>
      <c r="X196" t="s">
        <v>2834</v>
      </c>
      <c r="Y196" t="s">
        <v>2834</v>
      </c>
      <c r="Z196">
        <v>3</v>
      </c>
      <c r="AA196" t="s">
        <v>2789</v>
      </c>
      <c r="AB196">
        <v>0.05</v>
      </c>
      <c r="AC196" t="s">
        <v>2794</v>
      </c>
      <c r="AD196">
        <v>7339.2344999999996</v>
      </c>
      <c r="AE196">
        <v>1905.1144999999997</v>
      </c>
      <c r="AF196">
        <v>0.25957945614082772</v>
      </c>
      <c r="AG196" t="s">
        <v>2820</v>
      </c>
      <c r="AH196">
        <v>2025</v>
      </c>
      <c r="AI196" t="s">
        <v>2835</v>
      </c>
    </row>
    <row r="197" spans="1:35">
      <c r="A197" t="s">
        <v>693</v>
      </c>
      <c r="B197">
        <v>45860</v>
      </c>
      <c r="C197">
        <v>45862</v>
      </c>
      <c r="D197" t="s">
        <v>694</v>
      </c>
      <c r="E197" t="s">
        <v>79</v>
      </c>
      <c r="F197" t="s">
        <v>95</v>
      </c>
      <c r="G197" t="s">
        <v>54</v>
      </c>
      <c r="H197" t="s">
        <v>84</v>
      </c>
      <c r="I197" t="s">
        <v>85</v>
      </c>
      <c r="J197" t="s">
        <v>41</v>
      </c>
      <c r="K197" t="s">
        <v>57</v>
      </c>
      <c r="L197" t="s">
        <v>695</v>
      </c>
      <c r="M197" t="s">
        <v>44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32</v>
      </c>
      <c r="U197" t="s">
        <v>33</v>
      </c>
      <c r="V197" t="s">
        <v>2834</v>
      </c>
      <c r="W197" t="s">
        <v>2834</v>
      </c>
      <c r="X197" t="s">
        <v>2834</v>
      </c>
      <c r="Y197" t="s">
        <v>2834</v>
      </c>
      <c r="Z197">
        <v>2</v>
      </c>
      <c r="AA197" t="s">
        <v>2789</v>
      </c>
      <c r="AB197">
        <v>0</v>
      </c>
      <c r="AC197" t="s">
        <v>2794</v>
      </c>
      <c r="AD197">
        <v>9614.15</v>
      </c>
      <c r="AE197">
        <v>2037.3099999999995</v>
      </c>
      <c r="AF197">
        <v>0.21190744891644084</v>
      </c>
      <c r="AG197" t="s">
        <v>2826</v>
      </c>
      <c r="AH197">
        <v>2025</v>
      </c>
      <c r="AI197" t="s">
        <v>2835</v>
      </c>
    </row>
    <row r="198" spans="1:35">
      <c r="A198" t="s">
        <v>696</v>
      </c>
      <c r="B198">
        <v>45313</v>
      </c>
      <c r="C198">
        <v>45316</v>
      </c>
      <c r="D198" t="s">
        <v>697</v>
      </c>
      <c r="E198" t="s">
        <v>264</v>
      </c>
      <c r="F198" t="s">
        <v>95</v>
      </c>
      <c r="G198" t="s">
        <v>25</v>
      </c>
      <c r="H198" t="s">
        <v>136</v>
      </c>
      <c r="I198" t="s">
        <v>137</v>
      </c>
      <c r="J198" t="s">
        <v>28</v>
      </c>
      <c r="K198" t="s">
        <v>124</v>
      </c>
      <c r="L198" t="s">
        <v>698</v>
      </c>
      <c r="M198" t="s">
        <v>50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32</v>
      </c>
      <c r="U198" t="s">
        <v>33</v>
      </c>
      <c r="V198" t="s">
        <v>2834</v>
      </c>
      <c r="W198" t="s">
        <v>2834</v>
      </c>
      <c r="X198" t="s">
        <v>2834</v>
      </c>
      <c r="Y198" t="s">
        <v>2834</v>
      </c>
      <c r="Z198">
        <v>3</v>
      </c>
      <c r="AA198" t="s">
        <v>2789</v>
      </c>
      <c r="AB198">
        <v>0.1</v>
      </c>
      <c r="AC198" t="s">
        <v>2794</v>
      </c>
      <c r="AD198">
        <v>3272.4810000000002</v>
      </c>
      <c r="AE198">
        <v>755.04100000000017</v>
      </c>
      <c r="AF198">
        <v>0.23072433422837293</v>
      </c>
      <c r="AG198" t="s">
        <v>2820</v>
      </c>
      <c r="AH198">
        <v>2024</v>
      </c>
      <c r="AI198" t="s">
        <v>2835</v>
      </c>
    </row>
    <row r="199" spans="1:35">
      <c r="A199" t="s">
        <v>699</v>
      </c>
      <c r="B199">
        <v>45747</v>
      </c>
      <c r="C199">
        <v>45754</v>
      </c>
      <c r="D199" t="s">
        <v>390</v>
      </c>
      <c r="E199" t="s">
        <v>118</v>
      </c>
      <c r="F199" t="s">
        <v>37</v>
      </c>
      <c r="G199" t="s">
        <v>38</v>
      </c>
      <c r="H199" t="s">
        <v>145</v>
      </c>
      <c r="I199" t="s">
        <v>146</v>
      </c>
      <c r="J199" t="s">
        <v>28</v>
      </c>
      <c r="K199" t="s">
        <v>124</v>
      </c>
      <c r="L199" t="s">
        <v>700</v>
      </c>
      <c r="M199" t="s">
        <v>31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32</v>
      </c>
      <c r="U199" t="s">
        <v>33</v>
      </c>
      <c r="V199" t="s">
        <v>2834</v>
      </c>
      <c r="W199" t="s">
        <v>2834</v>
      </c>
      <c r="X199" t="s">
        <v>2834</v>
      </c>
      <c r="Y199" t="s">
        <v>2834</v>
      </c>
      <c r="Z199">
        <v>7</v>
      </c>
      <c r="AA199" t="s">
        <v>2789</v>
      </c>
      <c r="AB199">
        <v>0.15</v>
      </c>
      <c r="AC199" t="s">
        <v>2794</v>
      </c>
      <c r="AD199">
        <v>17409.869999999995</v>
      </c>
      <c r="AE199">
        <v>3333.6199999999953</v>
      </c>
      <c r="AF199">
        <v>0.19147874165631312</v>
      </c>
      <c r="AG199" t="s">
        <v>2822</v>
      </c>
      <c r="AH199">
        <v>2025</v>
      </c>
      <c r="AI199" t="s">
        <v>2835</v>
      </c>
    </row>
    <row r="200" spans="1:35">
      <c r="A200" t="s">
        <v>701</v>
      </c>
      <c r="B200">
        <v>45448</v>
      </c>
      <c r="C200">
        <v>45449</v>
      </c>
      <c r="D200" t="s">
        <v>702</v>
      </c>
      <c r="E200" t="s">
        <v>132</v>
      </c>
      <c r="F200" t="s">
        <v>24</v>
      </c>
      <c r="G200" t="s">
        <v>63</v>
      </c>
      <c r="H200" t="s">
        <v>180</v>
      </c>
      <c r="I200" t="s">
        <v>181</v>
      </c>
      <c r="J200" t="s">
        <v>28</v>
      </c>
      <c r="K200" t="s">
        <v>48</v>
      </c>
      <c r="L200" t="s">
        <v>703</v>
      </c>
      <c r="M200" t="s">
        <v>31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155</v>
      </c>
      <c r="U200" t="s">
        <v>68</v>
      </c>
      <c r="V200" t="s">
        <v>2834</v>
      </c>
      <c r="W200" t="s">
        <v>2834</v>
      </c>
      <c r="X200" t="s">
        <v>2834</v>
      </c>
      <c r="Y200" t="s">
        <v>2834</v>
      </c>
      <c r="Z200">
        <v>1</v>
      </c>
      <c r="AA200" t="s">
        <v>2789</v>
      </c>
      <c r="AB200">
        <v>0.05</v>
      </c>
      <c r="AC200" t="s">
        <v>2794</v>
      </c>
      <c r="AD200">
        <v>1125.3509999999999</v>
      </c>
      <c r="AE200">
        <v>448.38099999999986</v>
      </c>
      <c r="AF200">
        <v>0.39843657667696558</v>
      </c>
      <c r="AG200" t="s">
        <v>2825</v>
      </c>
      <c r="AH200">
        <v>2024</v>
      </c>
      <c r="AI200" t="s">
        <v>2835</v>
      </c>
    </row>
    <row r="201" spans="1:35">
      <c r="A201" t="s">
        <v>704</v>
      </c>
      <c r="B201">
        <v>45363</v>
      </c>
      <c r="C201">
        <v>45363</v>
      </c>
      <c r="D201" t="s">
        <v>705</v>
      </c>
      <c r="E201" t="s">
        <v>118</v>
      </c>
      <c r="F201" t="s">
        <v>95</v>
      </c>
      <c r="G201" t="s">
        <v>38</v>
      </c>
      <c r="H201" t="s">
        <v>145</v>
      </c>
      <c r="I201" t="s">
        <v>146</v>
      </c>
      <c r="J201" t="s">
        <v>74</v>
      </c>
      <c r="K201" t="s">
        <v>274</v>
      </c>
      <c r="L201" t="s">
        <v>706</v>
      </c>
      <c r="M201" t="s">
        <v>2791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32</v>
      </c>
      <c r="U201" t="s">
        <v>33</v>
      </c>
      <c r="V201" t="s">
        <v>2834</v>
      </c>
      <c r="W201" t="s">
        <v>2834</v>
      </c>
      <c r="X201" t="s">
        <v>2834</v>
      </c>
      <c r="Y201" t="s">
        <v>2834</v>
      </c>
      <c r="Z201">
        <v>0</v>
      </c>
      <c r="AA201" t="s">
        <v>2789</v>
      </c>
      <c r="AB201">
        <v>0.25</v>
      </c>
      <c r="AC201" t="s">
        <v>2794</v>
      </c>
      <c r="AD201">
        <v>9835.11</v>
      </c>
      <c r="AE201">
        <v>4397.47</v>
      </c>
      <c r="AF201">
        <v>0.44711955433136996</v>
      </c>
      <c r="AG201" t="s">
        <v>2822</v>
      </c>
      <c r="AH201">
        <v>2024</v>
      </c>
      <c r="AI201" t="s">
        <v>2838</v>
      </c>
    </row>
    <row r="202" spans="1:35">
      <c r="A202" t="s">
        <v>707</v>
      </c>
      <c r="B202">
        <v>45835</v>
      </c>
      <c r="C202">
        <v>45843</v>
      </c>
      <c r="D202" t="s">
        <v>708</v>
      </c>
      <c r="E202" t="s">
        <v>114</v>
      </c>
      <c r="F202" t="s">
        <v>37</v>
      </c>
      <c r="G202" t="s">
        <v>25</v>
      </c>
      <c r="H202" t="s">
        <v>26</v>
      </c>
      <c r="I202" t="s">
        <v>27</v>
      </c>
      <c r="J202" t="s">
        <v>74</v>
      </c>
      <c r="K202" t="s">
        <v>80</v>
      </c>
      <c r="L202" t="s">
        <v>709</v>
      </c>
      <c r="M202" t="s">
        <v>50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111</v>
      </c>
      <c r="U202" t="s">
        <v>68</v>
      </c>
      <c r="V202" t="s">
        <v>2834</v>
      </c>
      <c r="W202" t="s">
        <v>2834</v>
      </c>
      <c r="X202" t="s">
        <v>2834</v>
      </c>
      <c r="Y202" t="s">
        <v>2834</v>
      </c>
      <c r="Z202">
        <v>8</v>
      </c>
      <c r="AA202" t="s">
        <v>2789</v>
      </c>
      <c r="AB202">
        <v>0.1</v>
      </c>
      <c r="AC202" t="s">
        <v>2794</v>
      </c>
      <c r="AD202">
        <v>12907.980000000001</v>
      </c>
      <c r="AE202">
        <v>3710.9000000000015</v>
      </c>
      <c r="AF202">
        <v>0.28748882474252369</v>
      </c>
      <c r="AG202" t="s">
        <v>2825</v>
      </c>
      <c r="AH202">
        <v>2025</v>
      </c>
      <c r="AI202" t="s">
        <v>2835</v>
      </c>
    </row>
    <row r="203" spans="1:35">
      <c r="A203" t="s">
        <v>710</v>
      </c>
      <c r="B203">
        <v>45864</v>
      </c>
      <c r="C203">
        <v>45872</v>
      </c>
      <c r="D203" t="s">
        <v>711</v>
      </c>
      <c r="E203" t="s">
        <v>71</v>
      </c>
      <c r="F203" t="s">
        <v>24</v>
      </c>
      <c r="G203" t="s">
        <v>63</v>
      </c>
      <c r="H203" t="s">
        <v>72</v>
      </c>
      <c r="I203" t="s">
        <v>73</v>
      </c>
      <c r="J203" t="s">
        <v>28</v>
      </c>
      <c r="K203" t="s">
        <v>91</v>
      </c>
      <c r="L203" t="s">
        <v>712</v>
      </c>
      <c r="M203" t="s">
        <v>31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102</v>
      </c>
      <c r="U203" t="s">
        <v>68</v>
      </c>
      <c r="V203" t="s">
        <v>2834</v>
      </c>
      <c r="W203" t="s">
        <v>2834</v>
      </c>
      <c r="X203" t="s">
        <v>2834</v>
      </c>
      <c r="Y203" t="s">
        <v>2834</v>
      </c>
      <c r="Z203">
        <v>8</v>
      </c>
      <c r="AA203" t="s">
        <v>2789</v>
      </c>
      <c r="AB203">
        <v>-0.16</v>
      </c>
      <c r="AC203" t="s">
        <v>2795</v>
      </c>
      <c r="AD203">
        <v>5808.1895999999997</v>
      </c>
      <c r="AE203">
        <v>2853.3295999999996</v>
      </c>
      <c r="AF203">
        <v>0.49125972058487893</v>
      </c>
      <c r="AG203" t="s">
        <v>2826</v>
      </c>
      <c r="AH203">
        <v>2025</v>
      </c>
      <c r="AI203" t="s">
        <v>2836</v>
      </c>
    </row>
    <row r="204" spans="1:35">
      <c r="A204" t="s">
        <v>713</v>
      </c>
      <c r="B204">
        <v>45744</v>
      </c>
      <c r="C204">
        <v>45744</v>
      </c>
      <c r="D204" t="s">
        <v>714</v>
      </c>
      <c r="E204" t="s">
        <v>132</v>
      </c>
      <c r="F204" t="s">
        <v>90</v>
      </c>
      <c r="G204" t="s">
        <v>63</v>
      </c>
      <c r="H204" t="s">
        <v>190</v>
      </c>
      <c r="I204" t="s">
        <v>191</v>
      </c>
      <c r="J204" t="s">
        <v>74</v>
      </c>
      <c r="K204" t="s">
        <v>75</v>
      </c>
      <c r="L204" t="s">
        <v>715</v>
      </c>
      <c r="M204" t="s">
        <v>59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32</v>
      </c>
      <c r="U204" t="s">
        <v>33</v>
      </c>
      <c r="V204" t="s">
        <v>2834</v>
      </c>
      <c r="W204" t="s">
        <v>2834</v>
      </c>
      <c r="X204" t="s">
        <v>2834</v>
      </c>
      <c r="Y204" t="s">
        <v>2834</v>
      </c>
      <c r="Z204">
        <v>0</v>
      </c>
      <c r="AA204" t="s">
        <v>2789</v>
      </c>
      <c r="AB204">
        <v>0.05</v>
      </c>
      <c r="AC204" t="s">
        <v>2794</v>
      </c>
      <c r="AD204">
        <v>13231.144</v>
      </c>
      <c r="AE204">
        <v>1941.0840000000007</v>
      </c>
      <c r="AF204">
        <v>0.14670568168557463</v>
      </c>
      <c r="AG204" t="s">
        <v>2822</v>
      </c>
      <c r="AH204">
        <v>2025</v>
      </c>
      <c r="AI204" t="s">
        <v>2835</v>
      </c>
    </row>
    <row r="205" spans="1:35">
      <c r="A205" t="s">
        <v>716</v>
      </c>
      <c r="B205">
        <v>45379</v>
      </c>
      <c r="C205">
        <v>45381</v>
      </c>
      <c r="D205" t="s">
        <v>717</v>
      </c>
      <c r="E205" t="s">
        <v>132</v>
      </c>
      <c r="F205" t="s">
        <v>90</v>
      </c>
      <c r="G205" t="s">
        <v>63</v>
      </c>
      <c r="H205" t="s">
        <v>26</v>
      </c>
      <c r="I205" t="s">
        <v>109</v>
      </c>
      <c r="J205" t="s">
        <v>74</v>
      </c>
      <c r="K205" t="s">
        <v>75</v>
      </c>
      <c r="L205" t="s">
        <v>718</v>
      </c>
      <c r="M205" t="s">
        <v>31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32</v>
      </c>
      <c r="U205" t="s">
        <v>33</v>
      </c>
      <c r="V205" t="s">
        <v>2834</v>
      </c>
      <c r="W205" t="s">
        <v>2834</v>
      </c>
      <c r="X205" t="s">
        <v>2834</v>
      </c>
      <c r="Y205" t="s">
        <v>2834</v>
      </c>
      <c r="Z205">
        <v>2</v>
      </c>
      <c r="AA205" t="s">
        <v>2789</v>
      </c>
      <c r="AB205">
        <v>0.15</v>
      </c>
      <c r="AC205" t="s">
        <v>2794</v>
      </c>
      <c r="AD205">
        <v>484.78899999999999</v>
      </c>
      <c r="AE205">
        <v>151.24899999999997</v>
      </c>
      <c r="AF205">
        <v>0.3119893396921134</v>
      </c>
      <c r="AG205" t="s">
        <v>2822</v>
      </c>
      <c r="AH205">
        <v>2024</v>
      </c>
      <c r="AI205" t="s">
        <v>2835</v>
      </c>
    </row>
    <row r="206" spans="1:35">
      <c r="A206" t="s">
        <v>719</v>
      </c>
      <c r="B206">
        <v>45858</v>
      </c>
      <c r="C206">
        <v>45861</v>
      </c>
      <c r="D206" t="s">
        <v>720</v>
      </c>
      <c r="E206" t="s">
        <v>36</v>
      </c>
      <c r="F206" t="s">
        <v>95</v>
      </c>
      <c r="G206" t="s">
        <v>38</v>
      </c>
      <c r="H206" t="s">
        <v>99</v>
      </c>
      <c r="I206" t="s">
        <v>100</v>
      </c>
      <c r="J206" t="s">
        <v>41</v>
      </c>
      <c r="K206" t="s">
        <v>42</v>
      </c>
      <c r="L206" t="s">
        <v>721</v>
      </c>
      <c r="M206" t="s">
        <v>31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32</v>
      </c>
      <c r="U206" t="s">
        <v>33</v>
      </c>
      <c r="V206" t="s">
        <v>2834</v>
      </c>
      <c r="W206" t="s">
        <v>2834</v>
      </c>
      <c r="X206" t="s">
        <v>2834</v>
      </c>
      <c r="Y206" t="s">
        <v>2834</v>
      </c>
      <c r="Z206">
        <v>3</v>
      </c>
      <c r="AA206" t="s">
        <v>2789</v>
      </c>
      <c r="AB206">
        <v>0.15</v>
      </c>
      <c r="AC206" t="s">
        <v>2794</v>
      </c>
      <c r="AD206">
        <v>1624.146</v>
      </c>
      <c r="AE206">
        <v>406.15599999999995</v>
      </c>
      <c r="AF206">
        <v>0.25007357712914968</v>
      </c>
      <c r="AG206" t="s">
        <v>2826</v>
      </c>
      <c r="AH206">
        <v>2025</v>
      </c>
      <c r="AI206" t="s">
        <v>2835</v>
      </c>
    </row>
    <row r="207" spans="1:35">
      <c r="A207" t="s">
        <v>722</v>
      </c>
      <c r="B207">
        <v>45768</v>
      </c>
      <c r="C207">
        <v>45773</v>
      </c>
      <c r="D207" t="s">
        <v>723</v>
      </c>
      <c r="E207" t="s">
        <v>62</v>
      </c>
      <c r="F207" t="s">
        <v>24</v>
      </c>
      <c r="G207" t="s">
        <v>63</v>
      </c>
      <c r="H207" t="s">
        <v>64</v>
      </c>
      <c r="I207" t="s">
        <v>65</v>
      </c>
      <c r="J207" t="s">
        <v>28</v>
      </c>
      <c r="K207" t="s">
        <v>91</v>
      </c>
      <c r="L207" t="s">
        <v>724</v>
      </c>
      <c r="M207" t="s">
        <v>44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32</v>
      </c>
      <c r="U207" t="s">
        <v>33</v>
      </c>
      <c r="V207" t="s">
        <v>2834</v>
      </c>
      <c r="W207" t="s">
        <v>2834</v>
      </c>
      <c r="X207" t="s">
        <v>2834</v>
      </c>
      <c r="Y207" t="s">
        <v>2834</v>
      </c>
      <c r="Z207">
        <v>5</v>
      </c>
      <c r="AA207" t="s">
        <v>2789</v>
      </c>
      <c r="AB207">
        <v>0.2</v>
      </c>
      <c r="AC207" t="s">
        <v>2794</v>
      </c>
      <c r="AD207">
        <v>4193.232</v>
      </c>
      <c r="AE207">
        <v>863.24200000000019</v>
      </c>
      <c r="AF207">
        <v>0.2058655471483572</v>
      </c>
      <c r="AG207" t="s">
        <v>2823</v>
      </c>
      <c r="AH207">
        <v>2025</v>
      </c>
      <c r="AI207" t="s">
        <v>2835</v>
      </c>
    </row>
    <row r="208" spans="1:35">
      <c r="A208" t="s">
        <v>725</v>
      </c>
      <c r="B208">
        <v>45795</v>
      </c>
      <c r="C208">
        <v>45797</v>
      </c>
      <c r="D208" t="s">
        <v>726</v>
      </c>
      <c r="E208" t="s">
        <v>162</v>
      </c>
      <c r="F208" t="s">
        <v>37</v>
      </c>
      <c r="G208" t="s">
        <v>25</v>
      </c>
      <c r="H208" t="s">
        <v>136</v>
      </c>
      <c r="I208" t="s">
        <v>137</v>
      </c>
      <c r="J208" t="s">
        <v>41</v>
      </c>
      <c r="K208" t="s">
        <v>57</v>
      </c>
      <c r="L208" t="s">
        <v>727</v>
      </c>
      <c r="M208" t="s">
        <v>50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32</v>
      </c>
      <c r="U208" t="s">
        <v>33</v>
      </c>
      <c r="V208" t="s">
        <v>2834</v>
      </c>
      <c r="W208" t="s">
        <v>2834</v>
      </c>
      <c r="X208" t="s">
        <v>2834</v>
      </c>
      <c r="Y208" t="s">
        <v>2834</v>
      </c>
      <c r="Z208">
        <v>2</v>
      </c>
      <c r="AA208" t="s">
        <v>2789</v>
      </c>
      <c r="AB208">
        <v>0</v>
      </c>
      <c r="AC208" t="s">
        <v>2794</v>
      </c>
      <c r="AD208">
        <v>430.26</v>
      </c>
      <c r="AE208">
        <v>143.88</v>
      </c>
      <c r="AF208">
        <v>0.33440245432994004</v>
      </c>
      <c r="AG208" t="s">
        <v>2824</v>
      </c>
      <c r="AH208">
        <v>2025</v>
      </c>
      <c r="AI208" t="s">
        <v>2835</v>
      </c>
    </row>
    <row r="209" spans="1:35">
      <c r="A209" t="s">
        <v>728</v>
      </c>
      <c r="B209">
        <v>45483</v>
      </c>
      <c r="C209">
        <v>45489</v>
      </c>
      <c r="D209" t="s">
        <v>729</v>
      </c>
      <c r="E209" t="s">
        <v>128</v>
      </c>
      <c r="F209" t="s">
        <v>95</v>
      </c>
      <c r="G209" t="s">
        <v>63</v>
      </c>
      <c r="H209" t="s">
        <v>190</v>
      </c>
      <c r="I209" t="s">
        <v>191</v>
      </c>
      <c r="J209" t="s">
        <v>41</v>
      </c>
      <c r="K209" t="s">
        <v>158</v>
      </c>
      <c r="L209" t="s">
        <v>730</v>
      </c>
      <c r="M209" t="s">
        <v>31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32</v>
      </c>
      <c r="U209" t="s">
        <v>33</v>
      </c>
      <c r="V209" t="s">
        <v>2834</v>
      </c>
      <c r="W209" t="s">
        <v>2834</v>
      </c>
      <c r="X209" t="s">
        <v>2834</v>
      </c>
      <c r="Y209" t="s">
        <v>2834</v>
      </c>
      <c r="Z209">
        <v>6</v>
      </c>
      <c r="AA209" t="s">
        <v>2789</v>
      </c>
      <c r="AB209">
        <v>0.2</v>
      </c>
      <c r="AC209" t="s">
        <v>2794</v>
      </c>
      <c r="AD209">
        <v>1752.7200000000003</v>
      </c>
      <c r="AE209">
        <v>756.31000000000029</v>
      </c>
      <c r="AF209">
        <v>0.43150645853302305</v>
      </c>
      <c r="AG209" t="s">
        <v>2826</v>
      </c>
      <c r="AH209">
        <v>2024</v>
      </c>
      <c r="AI209" t="s">
        <v>2835</v>
      </c>
    </row>
    <row r="210" spans="1:35">
      <c r="A210" t="s">
        <v>731</v>
      </c>
      <c r="B210">
        <v>45837</v>
      </c>
      <c r="C210">
        <v>45843</v>
      </c>
      <c r="D210" t="s">
        <v>732</v>
      </c>
      <c r="E210" t="s">
        <v>162</v>
      </c>
      <c r="F210" t="s">
        <v>24</v>
      </c>
      <c r="G210" t="s">
        <v>25</v>
      </c>
      <c r="H210" t="s">
        <v>122</v>
      </c>
      <c r="I210" t="s">
        <v>123</v>
      </c>
      <c r="J210" t="s">
        <v>41</v>
      </c>
      <c r="K210" t="s">
        <v>66</v>
      </c>
      <c r="L210" t="s">
        <v>733</v>
      </c>
      <c r="M210" t="s">
        <v>44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32</v>
      </c>
      <c r="U210" t="s">
        <v>33</v>
      </c>
      <c r="V210" t="s">
        <v>2834</v>
      </c>
      <c r="W210" t="s">
        <v>2834</v>
      </c>
      <c r="X210" t="s">
        <v>2834</v>
      </c>
      <c r="Y210" t="s">
        <v>2834</v>
      </c>
      <c r="Z210">
        <v>6</v>
      </c>
      <c r="AA210" t="s">
        <v>2789</v>
      </c>
      <c r="AB210">
        <v>0</v>
      </c>
      <c r="AC210" t="s">
        <v>2794</v>
      </c>
      <c r="AD210">
        <v>999.83</v>
      </c>
      <c r="AE210">
        <v>364.92000000000007</v>
      </c>
      <c r="AF210">
        <v>0.3649820469479812</v>
      </c>
      <c r="AG210" t="s">
        <v>2825</v>
      </c>
      <c r="AH210">
        <v>2025</v>
      </c>
      <c r="AI210" t="s">
        <v>2835</v>
      </c>
    </row>
    <row r="211" spans="1:35">
      <c r="A211" t="s">
        <v>734</v>
      </c>
      <c r="B211">
        <v>45882</v>
      </c>
      <c r="C211">
        <v>45883</v>
      </c>
      <c r="D211" t="s">
        <v>735</v>
      </c>
      <c r="E211" t="s">
        <v>141</v>
      </c>
      <c r="F211" t="s">
        <v>37</v>
      </c>
      <c r="G211" t="s">
        <v>54</v>
      </c>
      <c r="H211" t="s">
        <v>84</v>
      </c>
      <c r="I211" t="s">
        <v>85</v>
      </c>
      <c r="J211" t="s">
        <v>28</v>
      </c>
      <c r="K211" t="s">
        <v>29</v>
      </c>
      <c r="L211" t="s">
        <v>736</v>
      </c>
      <c r="M211" t="s">
        <v>50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32</v>
      </c>
      <c r="U211" t="s">
        <v>33</v>
      </c>
      <c r="V211" t="s">
        <v>2834</v>
      </c>
      <c r="W211" t="s">
        <v>2834</v>
      </c>
      <c r="X211" t="s">
        <v>2834</v>
      </c>
      <c r="Y211" t="s">
        <v>2834</v>
      </c>
      <c r="Z211">
        <v>1</v>
      </c>
      <c r="AA211" t="s">
        <v>2789</v>
      </c>
      <c r="AB211">
        <v>0.1</v>
      </c>
      <c r="AC211" t="s">
        <v>2794</v>
      </c>
      <c r="AD211">
        <v>7006.3379999999997</v>
      </c>
      <c r="AE211">
        <v>2365.4579999999996</v>
      </c>
      <c r="AF211">
        <v>0.33761688345609359</v>
      </c>
      <c r="AG211" t="s">
        <v>2827</v>
      </c>
      <c r="AH211">
        <v>2025</v>
      </c>
      <c r="AI211" t="s">
        <v>2835</v>
      </c>
    </row>
    <row r="212" spans="1:35">
      <c r="A212" t="s">
        <v>737</v>
      </c>
      <c r="B212">
        <v>45366</v>
      </c>
      <c r="C212">
        <v>45369</v>
      </c>
      <c r="D212" t="s">
        <v>738</v>
      </c>
      <c r="E212" t="s">
        <v>264</v>
      </c>
      <c r="F212" t="s">
        <v>95</v>
      </c>
      <c r="G212" t="s">
        <v>54</v>
      </c>
      <c r="H212" t="s">
        <v>175</v>
      </c>
      <c r="I212" t="s">
        <v>176</v>
      </c>
      <c r="J212" t="s">
        <v>74</v>
      </c>
      <c r="K212" t="s">
        <v>274</v>
      </c>
      <c r="L212" t="s">
        <v>739</v>
      </c>
      <c r="M212" t="s">
        <v>31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155</v>
      </c>
      <c r="U212" t="s">
        <v>103</v>
      </c>
      <c r="V212" t="s">
        <v>2834</v>
      </c>
      <c r="W212" t="s">
        <v>2834</v>
      </c>
      <c r="X212" t="s">
        <v>2834</v>
      </c>
      <c r="Y212" t="s">
        <v>2834</v>
      </c>
      <c r="Z212">
        <v>3</v>
      </c>
      <c r="AA212" t="s">
        <v>2789</v>
      </c>
      <c r="AB212">
        <v>0</v>
      </c>
      <c r="AC212" t="s">
        <v>2794</v>
      </c>
      <c r="AD212">
        <v>4131.3599999999997</v>
      </c>
      <c r="AE212">
        <v>1194.2899999999995</v>
      </c>
      <c r="AF212">
        <v>0.28907914100925591</v>
      </c>
      <c r="AG212" t="s">
        <v>2822</v>
      </c>
      <c r="AH212">
        <v>2024</v>
      </c>
      <c r="AI212" t="s">
        <v>2835</v>
      </c>
    </row>
    <row r="213" spans="1:35">
      <c r="A213" t="s">
        <v>740</v>
      </c>
      <c r="B213">
        <v>45428</v>
      </c>
      <c r="C213">
        <v>45429</v>
      </c>
      <c r="D213" t="s">
        <v>741</v>
      </c>
      <c r="E213" t="s">
        <v>141</v>
      </c>
      <c r="F213" t="s">
        <v>90</v>
      </c>
      <c r="G213" t="s">
        <v>38</v>
      </c>
      <c r="H213" t="s">
        <v>99</v>
      </c>
      <c r="I213" t="s">
        <v>100</v>
      </c>
      <c r="J213" t="s">
        <v>74</v>
      </c>
      <c r="K213" t="s">
        <v>80</v>
      </c>
      <c r="L213" t="s">
        <v>742</v>
      </c>
      <c r="M213" t="s">
        <v>31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32</v>
      </c>
      <c r="U213" t="s">
        <v>33</v>
      </c>
      <c r="V213" t="s">
        <v>2834</v>
      </c>
      <c r="W213" t="s">
        <v>2834</v>
      </c>
      <c r="X213" t="s">
        <v>2834</v>
      </c>
      <c r="Y213" t="s">
        <v>2834</v>
      </c>
      <c r="Z213">
        <v>1</v>
      </c>
      <c r="AA213" t="s">
        <v>2789</v>
      </c>
      <c r="AB213">
        <v>0.2</v>
      </c>
      <c r="AC213" t="s">
        <v>2794</v>
      </c>
      <c r="AD213">
        <v>27020.48</v>
      </c>
      <c r="AE213">
        <v>4135.239999999998</v>
      </c>
      <c r="AF213">
        <v>0.15304095264036752</v>
      </c>
      <c r="AG213" t="s">
        <v>2824</v>
      </c>
      <c r="AH213">
        <v>2024</v>
      </c>
      <c r="AI213" t="s">
        <v>2835</v>
      </c>
    </row>
    <row r="214" spans="1:35">
      <c r="A214" t="s">
        <v>743</v>
      </c>
      <c r="B214">
        <v>45556</v>
      </c>
      <c r="C214">
        <v>45556</v>
      </c>
      <c r="D214" t="s">
        <v>744</v>
      </c>
      <c r="E214" t="s">
        <v>62</v>
      </c>
      <c r="F214" t="s">
        <v>37</v>
      </c>
      <c r="G214" t="s">
        <v>38</v>
      </c>
      <c r="H214" t="s">
        <v>39</v>
      </c>
      <c r="I214" t="s">
        <v>40</v>
      </c>
      <c r="J214" t="s">
        <v>74</v>
      </c>
      <c r="K214" t="s">
        <v>171</v>
      </c>
      <c r="L214" t="s">
        <v>745</v>
      </c>
      <c r="M214" t="s">
        <v>44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32</v>
      </c>
      <c r="U214" t="s">
        <v>33</v>
      </c>
      <c r="V214" t="s">
        <v>2834</v>
      </c>
      <c r="W214" t="s">
        <v>2834</v>
      </c>
      <c r="X214" t="s">
        <v>2834</v>
      </c>
      <c r="Y214" t="s">
        <v>2834</v>
      </c>
      <c r="Z214">
        <v>0</v>
      </c>
      <c r="AA214" t="s">
        <v>2789</v>
      </c>
      <c r="AB214">
        <v>0.15</v>
      </c>
      <c r="AC214" t="s">
        <v>2794</v>
      </c>
      <c r="AD214">
        <v>364.65</v>
      </c>
      <c r="AE214">
        <v>83.909999999999968</v>
      </c>
      <c r="AF214">
        <v>0.23011106540518297</v>
      </c>
      <c r="AG214" t="s">
        <v>2828</v>
      </c>
      <c r="AH214">
        <v>2024</v>
      </c>
      <c r="AI214" t="s">
        <v>2835</v>
      </c>
    </row>
    <row r="215" spans="1:35">
      <c r="A215" t="s">
        <v>746</v>
      </c>
      <c r="B215">
        <v>45427</v>
      </c>
      <c r="C215">
        <v>45433</v>
      </c>
      <c r="D215" t="s">
        <v>747</v>
      </c>
      <c r="E215" t="s">
        <v>47</v>
      </c>
      <c r="F215" t="s">
        <v>37</v>
      </c>
      <c r="G215" t="s">
        <v>38</v>
      </c>
      <c r="H215" t="s">
        <v>145</v>
      </c>
      <c r="I215" t="s">
        <v>146</v>
      </c>
      <c r="J215" t="s">
        <v>74</v>
      </c>
      <c r="K215" t="s">
        <v>75</v>
      </c>
      <c r="L215" t="s">
        <v>748</v>
      </c>
      <c r="M215" t="s">
        <v>31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32</v>
      </c>
      <c r="U215" t="s">
        <v>33</v>
      </c>
      <c r="V215" t="s">
        <v>2834</v>
      </c>
      <c r="W215" t="s">
        <v>2834</v>
      </c>
      <c r="X215" t="s">
        <v>2834</v>
      </c>
      <c r="Y215" t="s">
        <v>2834</v>
      </c>
      <c r="Z215">
        <v>6</v>
      </c>
      <c r="AA215" t="s">
        <v>2789</v>
      </c>
      <c r="AB215">
        <v>0.2</v>
      </c>
      <c r="AC215" t="s">
        <v>2794</v>
      </c>
      <c r="AD215">
        <v>13864.735999999999</v>
      </c>
      <c r="AE215">
        <v>2570.6759999999995</v>
      </c>
      <c r="AF215">
        <v>0.18541110339208763</v>
      </c>
      <c r="AG215" t="s">
        <v>2824</v>
      </c>
      <c r="AH215">
        <v>2024</v>
      </c>
      <c r="AI215" t="s">
        <v>2835</v>
      </c>
    </row>
    <row r="216" spans="1:35">
      <c r="A216" t="s">
        <v>749</v>
      </c>
      <c r="B216">
        <v>45368</v>
      </c>
      <c r="C216">
        <v>45374</v>
      </c>
      <c r="D216" t="s">
        <v>750</v>
      </c>
      <c r="E216" t="s">
        <v>118</v>
      </c>
      <c r="F216" t="s">
        <v>24</v>
      </c>
      <c r="G216" t="s">
        <v>25</v>
      </c>
      <c r="H216" t="s">
        <v>236</v>
      </c>
      <c r="I216" t="s">
        <v>237</v>
      </c>
      <c r="J216" t="s">
        <v>74</v>
      </c>
      <c r="K216" t="s">
        <v>75</v>
      </c>
      <c r="L216" t="s">
        <v>751</v>
      </c>
      <c r="M216" t="s">
        <v>50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32</v>
      </c>
      <c r="U216" t="s">
        <v>33</v>
      </c>
      <c r="V216" t="s">
        <v>2834</v>
      </c>
      <c r="W216" t="s">
        <v>2834</v>
      </c>
      <c r="X216" t="s">
        <v>2834</v>
      </c>
      <c r="Y216" t="s">
        <v>2834</v>
      </c>
      <c r="Z216">
        <v>6</v>
      </c>
      <c r="AA216" t="s">
        <v>2789</v>
      </c>
      <c r="AB216">
        <v>0.05</v>
      </c>
      <c r="AC216" t="s">
        <v>2794</v>
      </c>
      <c r="AD216">
        <v>707.31299999999999</v>
      </c>
      <c r="AE216">
        <v>138.31299999999999</v>
      </c>
      <c r="AF216">
        <v>0.19554709159876885</v>
      </c>
      <c r="AG216" t="s">
        <v>2822</v>
      </c>
      <c r="AH216">
        <v>2024</v>
      </c>
      <c r="AI216" t="s">
        <v>2835</v>
      </c>
    </row>
    <row r="217" spans="1:35">
      <c r="A217" t="s">
        <v>752</v>
      </c>
      <c r="B217">
        <v>45352</v>
      </c>
      <c r="C217">
        <v>45355</v>
      </c>
      <c r="D217" t="s">
        <v>753</v>
      </c>
      <c r="E217" t="s">
        <v>36</v>
      </c>
      <c r="F217" t="s">
        <v>24</v>
      </c>
      <c r="G217" t="s">
        <v>63</v>
      </c>
      <c r="H217" t="s">
        <v>72</v>
      </c>
      <c r="I217" t="s">
        <v>73</v>
      </c>
      <c r="J217" t="s">
        <v>28</v>
      </c>
      <c r="K217" t="s">
        <v>29</v>
      </c>
      <c r="L217" t="s">
        <v>754</v>
      </c>
      <c r="M217" t="s">
        <v>50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32</v>
      </c>
      <c r="U217" t="s">
        <v>33</v>
      </c>
      <c r="V217" t="s">
        <v>2834</v>
      </c>
      <c r="W217" t="s">
        <v>2834</v>
      </c>
      <c r="X217" t="s">
        <v>2834</v>
      </c>
      <c r="Y217" t="s">
        <v>2834</v>
      </c>
      <c r="Z217">
        <v>3</v>
      </c>
      <c r="AA217" t="s">
        <v>2789</v>
      </c>
      <c r="AB217">
        <v>0.25</v>
      </c>
      <c r="AC217" t="s">
        <v>2794</v>
      </c>
      <c r="AD217">
        <v>19214.400000000001</v>
      </c>
      <c r="AE217">
        <v>8298.3900000000012</v>
      </c>
      <c r="AF217">
        <v>0.43188389957531853</v>
      </c>
      <c r="AG217" t="s">
        <v>2822</v>
      </c>
      <c r="AH217">
        <v>2024</v>
      </c>
      <c r="AI217" t="s">
        <v>2835</v>
      </c>
    </row>
    <row r="218" spans="1:35">
      <c r="A218" t="s">
        <v>755</v>
      </c>
      <c r="B218">
        <v>45757</v>
      </c>
      <c r="C218">
        <v>45762</v>
      </c>
      <c r="D218" t="s">
        <v>756</v>
      </c>
      <c r="E218" t="s">
        <v>47</v>
      </c>
      <c r="F218" t="s">
        <v>24</v>
      </c>
      <c r="G218" t="s">
        <v>63</v>
      </c>
      <c r="H218" t="s">
        <v>180</v>
      </c>
      <c r="I218" t="s">
        <v>181</v>
      </c>
      <c r="J218" t="s">
        <v>41</v>
      </c>
      <c r="K218" t="s">
        <v>42</v>
      </c>
      <c r="L218" t="s">
        <v>757</v>
      </c>
      <c r="M218" t="s">
        <v>59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155</v>
      </c>
      <c r="U218" t="s">
        <v>103</v>
      </c>
      <c r="V218" t="s">
        <v>2834</v>
      </c>
      <c r="W218" t="s">
        <v>2834</v>
      </c>
      <c r="X218" t="s">
        <v>2834</v>
      </c>
      <c r="Y218" t="s">
        <v>2834</v>
      </c>
      <c r="Z218">
        <v>5</v>
      </c>
      <c r="AA218" t="s">
        <v>2789</v>
      </c>
      <c r="AB218">
        <v>0.25</v>
      </c>
      <c r="AC218" t="s">
        <v>2794</v>
      </c>
      <c r="AD218">
        <v>11039.22</v>
      </c>
      <c r="AE218">
        <v>3396.3099999999995</v>
      </c>
      <c r="AF218">
        <v>0.30765851210502188</v>
      </c>
      <c r="AG218" t="s">
        <v>2823</v>
      </c>
      <c r="AH218">
        <v>2025</v>
      </c>
      <c r="AI218" t="s">
        <v>2835</v>
      </c>
    </row>
    <row r="219" spans="1:35">
      <c r="A219" t="s">
        <v>758</v>
      </c>
      <c r="B219">
        <v>45748</v>
      </c>
      <c r="C219">
        <v>45755</v>
      </c>
      <c r="D219" t="s">
        <v>759</v>
      </c>
      <c r="E219" t="s">
        <v>89</v>
      </c>
      <c r="F219" t="s">
        <v>24</v>
      </c>
      <c r="G219" t="s">
        <v>38</v>
      </c>
      <c r="H219" t="s">
        <v>39</v>
      </c>
      <c r="I219" t="s">
        <v>40</v>
      </c>
      <c r="J219" t="s">
        <v>41</v>
      </c>
      <c r="K219" t="s">
        <v>158</v>
      </c>
      <c r="L219" t="s">
        <v>760</v>
      </c>
      <c r="M219" t="s">
        <v>31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102</v>
      </c>
      <c r="U219" t="s">
        <v>68</v>
      </c>
      <c r="V219" t="s">
        <v>2834</v>
      </c>
      <c r="W219" t="s">
        <v>2834</v>
      </c>
      <c r="X219" t="s">
        <v>2834</v>
      </c>
      <c r="Y219" t="s">
        <v>2834</v>
      </c>
      <c r="Z219">
        <v>7</v>
      </c>
      <c r="AA219" t="s">
        <v>2789</v>
      </c>
      <c r="AB219">
        <v>0.1</v>
      </c>
      <c r="AC219" t="s">
        <v>2794</v>
      </c>
      <c r="AD219">
        <v>4595.76</v>
      </c>
      <c r="AE219">
        <v>1198.96</v>
      </c>
      <c r="AF219">
        <v>0.26088394520166414</v>
      </c>
      <c r="AG219" t="s">
        <v>2823</v>
      </c>
      <c r="AH219">
        <v>2025</v>
      </c>
      <c r="AI219" t="s">
        <v>2835</v>
      </c>
    </row>
    <row r="220" spans="1:35">
      <c r="A220" t="s">
        <v>761</v>
      </c>
      <c r="B220">
        <v>45714</v>
      </c>
      <c r="C220">
        <v>45715</v>
      </c>
      <c r="D220" t="s">
        <v>762</v>
      </c>
      <c r="E220" t="s">
        <v>114</v>
      </c>
      <c r="F220" t="s">
        <v>90</v>
      </c>
      <c r="G220" t="s">
        <v>63</v>
      </c>
      <c r="H220" t="s">
        <v>180</v>
      </c>
      <c r="I220" t="s">
        <v>181</v>
      </c>
      <c r="J220" t="s">
        <v>41</v>
      </c>
      <c r="K220" t="s">
        <v>158</v>
      </c>
      <c r="L220" t="s">
        <v>763</v>
      </c>
      <c r="M220" t="s">
        <v>59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32</v>
      </c>
      <c r="U220" t="s">
        <v>33</v>
      </c>
      <c r="V220" t="s">
        <v>2834</v>
      </c>
      <c r="W220" t="s">
        <v>2834</v>
      </c>
      <c r="X220" t="s">
        <v>2834</v>
      </c>
      <c r="Y220" t="s">
        <v>2834</v>
      </c>
      <c r="Z220">
        <v>1</v>
      </c>
      <c r="AA220" t="s">
        <v>2789</v>
      </c>
      <c r="AB220">
        <v>0</v>
      </c>
      <c r="AC220" t="s">
        <v>2794</v>
      </c>
      <c r="AD220">
        <v>1291.3999999999999</v>
      </c>
      <c r="AE220">
        <v>534.46999999999991</v>
      </c>
      <c r="AF220">
        <v>0.41386866966083319</v>
      </c>
      <c r="AG220" t="s">
        <v>2821</v>
      </c>
      <c r="AH220">
        <v>2025</v>
      </c>
      <c r="AI220" t="s">
        <v>2835</v>
      </c>
    </row>
    <row r="221" spans="1:35">
      <c r="A221" t="s">
        <v>764</v>
      </c>
      <c r="B221">
        <v>45461</v>
      </c>
      <c r="C221">
        <v>45462</v>
      </c>
      <c r="D221" t="s">
        <v>765</v>
      </c>
      <c r="E221" t="s">
        <v>118</v>
      </c>
      <c r="F221" t="s">
        <v>24</v>
      </c>
      <c r="G221" t="s">
        <v>38</v>
      </c>
      <c r="H221" t="s">
        <v>145</v>
      </c>
      <c r="I221" t="s">
        <v>146</v>
      </c>
      <c r="J221" t="s">
        <v>74</v>
      </c>
      <c r="K221" t="s">
        <v>274</v>
      </c>
      <c r="L221" t="s">
        <v>766</v>
      </c>
      <c r="M221" t="s">
        <v>50</v>
      </c>
      <c r="N221">
        <v>2</v>
      </c>
      <c r="O221">
        <v>121.49</v>
      </c>
      <c r="P221" t="s">
        <v>767</v>
      </c>
      <c r="Q221">
        <v>242.98</v>
      </c>
      <c r="R221">
        <v>161.41999999999999</v>
      </c>
      <c r="S221">
        <v>81.56</v>
      </c>
      <c r="T221" t="s">
        <v>32</v>
      </c>
      <c r="U221" t="s">
        <v>33</v>
      </c>
      <c r="V221" t="s">
        <v>2834</v>
      </c>
      <c r="W221" t="s">
        <v>2834</v>
      </c>
      <c r="X221" t="s">
        <v>2834</v>
      </c>
      <c r="Y221" t="s">
        <v>2834</v>
      </c>
      <c r="Z221">
        <v>1</v>
      </c>
      <c r="AA221" t="s">
        <v>2789</v>
      </c>
      <c r="AB221">
        <v>0.85</v>
      </c>
      <c r="AC221" t="s">
        <v>2797</v>
      </c>
      <c r="AD221">
        <v>36.447000000000003</v>
      </c>
      <c r="AE221">
        <v>-124.97299999999998</v>
      </c>
      <c r="AF221">
        <v>-3.4288967541910162</v>
      </c>
      <c r="AG221" t="s">
        <v>2825</v>
      </c>
      <c r="AH221">
        <v>2024</v>
      </c>
      <c r="AI221" t="s">
        <v>2836</v>
      </c>
    </row>
    <row r="222" spans="1:35">
      <c r="A222" t="s">
        <v>768</v>
      </c>
      <c r="B222">
        <v>45538</v>
      </c>
      <c r="C222">
        <v>45538</v>
      </c>
      <c r="D222" t="s">
        <v>769</v>
      </c>
      <c r="E222" t="s">
        <v>132</v>
      </c>
      <c r="F222" t="s">
        <v>24</v>
      </c>
      <c r="G222" t="s">
        <v>54</v>
      </c>
      <c r="H222" t="s">
        <v>185</v>
      </c>
      <c r="I222" t="s">
        <v>186</v>
      </c>
      <c r="J222" t="s">
        <v>28</v>
      </c>
      <c r="K222" t="s">
        <v>124</v>
      </c>
      <c r="L222" t="s">
        <v>770</v>
      </c>
      <c r="M222" t="s">
        <v>50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102</v>
      </c>
      <c r="U222" t="s">
        <v>68</v>
      </c>
      <c r="V222" t="s">
        <v>2834</v>
      </c>
      <c r="W222" t="s">
        <v>2834</v>
      </c>
      <c r="X222" t="s">
        <v>2834</v>
      </c>
      <c r="Y222" t="s">
        <v>2834</v>
      </c>
      <c r="Z222">
        <v>0</v>
      </c>
      <c r="AA222" t="s">
        <v>2789</v>
      </c>
      <c r="AB222">
        <v>0.15</v>
      </c>
      <c r="AC222" t="s">
        <v>2794</v>
      </c>
      <c r="AD222">
        <v>9554.5779999999995</v>
      </c>
      <c r="AE222">
        <v>3486.1079999999993</v>
      </c>
      <c r="AF222">
        <v>0.36486258210462036</v>
      </c>
      <c r="AG222" t="s">
        <v>2828</v>
      </c>
      <c r="AH222">
        <v>2024</v>
      </c>
      <c r="AI222" t="s">
        <v>2835</v>
      </c>
    </row>
    <row r="223" spans="1:35">
      <c r="A223" t="s">
        <v>771</v>
      </c>
      <c r="B223">
        <v>45669</v>
      </c>
      <c r="C223">
        <v>45672</v>
      </c>
      <c r="D223" t="s">
        <v>772</v>
      </c>
      <c r="E223" t="s">
        <v>36</v>
      </c>
      <c r="F223" t="s">
        <v>90</v>
      </c>
      <c r="G223" t="s">
        <v>54</v>
      </c>
      <c r="H223" t="s">
        <v>175</v>
      </c>
      <c r="I223" t="s">
        <v>176</v>
      </c>
      <c r="J223" t="s">
        <v>41</v>
      </c>
      <c r="K223" t="s">
        <v>66</v>
      </c>
      <c r="L223" t="s">
        <v>773</v>
      </c>
      <c r="M223" t="s">
        <v>44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32</v>
      </c>
      <c r="U223" t="s">
        <v>33</v>
      </c>
      <c r="V223" t="s">
        <v>2834</v>
      </c>
      <c r="W223" t="s">
        <v>2834</v>
      </c>
      <c r="X223" t="s">
        <v>2834</v>
      </c>
      <c r="Y223" t="s">
        <v>2834</v>
      </c>
      <c r="Z223">
        <v>3</v>
      </c>
      <c r="AA223" t="s">
        <v>2789</v>
      </c>
      <c r="AB223">
        <v>0.2</v>
      </c>
      <c r="AC223" t="s">
        <v>2794</v>
      </c>
      <c r="AD223">
        <v>4900.8959999999997</v>
      </c>
      <c r="AE223">
        <v>1348.2059999999997</v>
      </c>
      <c r="AF223">
        <v>0.27509377877024932</v>
      </c>
      <c r="AG223" t="s">
        <v>2820</v>
      </c>
      <c r="AH223">
        <v>2025</v>
      </c>
      <c r="AI223" t="s">
        <v>2835</v>
      </c>
    </row>
    <row r="224" spans="1:35">
      <c r="A224" t="s">
        <v>774</v>
      </c>
      <c r="B224">
        <v>45776</v>
      </c>
      <c r="C224">
        <v>45779</v>
      </c>
      <c r="D224" t="s">
        <v>775</v>
      </c>
      <c r="E224" t="s">
        <v>71</v>
      </c>
      <c r="F224" t="s">
        <v>37</v>
      </c>
      <c r="G224" t="s">
        <v>63</v>
      </c>
      <c r="H224" t="s">
        <v>190</v>
      </c>
      <c r="I224" t="s">
        <v>191</v>
      </c>
      <c r="J224" t="s">
        <v>28</v>
      </c>
      <c r="K224" t="s">
        <v>124</v>
      </c>
      <c r="L224" t="s">
        <v>776</v>
      </c>
      <c r="M224" t="s">
        <v>50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32</v>
      </c>
      <c r="U224" t="s">
        <v>33</v>
      </c>
      <c r="V224" t="s">
        <v>2834</v>
      </c>
      <c r="W224" t="s">
        <v>2834</v>
      </c>
      <c r="X224" t="s">
        <v>2834</v>
      </c>
      <c r="Y224" t="s">
        <v>2834</v>
      </c>
      <c r="Z224">
        <v>3</v>
      </c>
      <c r="AA224" t="s">
        <v>2789</v>
      </c>
      <c r="AB224">
        <v>0</v>
      </c>
      <c r="AC224" t="s">
        <v>2794</v>
      </c>
      <c r="AD224">
        <v>25848.54</v>
      </c>
      <c r="AE224">
        <v>8119.4500000000007</v>
      </c>
      <c r="AF224">
        <v>0.31411638723115504</v>
      </c>
      <c r="AG224" t="s">
        <v>2823</v>
      </c>
      <c r="AH224">
        <v>2025</v>
      </c>
      <c r="AI224" t="s">
        <v>2835</v>
      </c>
    </row>
    <row r="225" spans="1:35">
      <c r="A225" t="s">
        <v>777</v>
      </c>
      <c r="B225">
        <v>45707</v>
      </c>
      <c r="C225">
        <v>45714</v>
      </c>
      <c r="D225" t="s">
        <v>778</v>
      </c>
      <c r="E225" t="s">
        <v>36</v>
      </c>
      <c r="F225" t="s">
        <v>90</v>
      </c>
      <c r="G225" t="s">
        <v>63</v>
      </c>
      <c r="H225" t="s">
        <v>64</v>
      </c>
      <c r="I225" t="s">
        <v>65</v>
      </c>
      <c r="J225" t="s">
        <v>41</v>
      </c>
      <c r="K225" t="s">
        <v>57</v>
      </c>
      <c r="L225" t="s">
        <v>779</v>
      </c>
      <c r="M225" t="s">
        <v>50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111</v>
      </c>
      <c r="U225" t="s">
        <v>103</v>
      </c>
      <c r="V225" t="s">
        <v>2834</v>
      </c>
      <c r="W225" t="s">
        <v>2834</v>
      </c>
      <c r="X225" t="s">
        <v>2834</v>
      </c>
      <c r="Y225" t="s">
        <v>2834</v>
      </c>
      <c r="Z225">
        <v>7</v>
      </c>
      <c r="AA225" t="s">
        <v>2789</v>
      </c>
      <c r="AB225">
        <v>0.2</v>
      </c>
      <c r="AC225" t="s">
        <v>2794</v>
      </c>
      <c r="AD225">
        <v>1176.72</v>
      </c>
      <c r="AE225">
        <v>522.39</v>
      </c>
      <c r="AF225">
        <v>0.44393738527432181</v>
      </c>
      <c r="AG225" t="s">
        <v>2821</v>
      </c>
      <c r="AH225">
        <v>2025</v>
      </c>
      <c r="AI225" t="s">
        <v>2835</v>
      </c>
    </row>
    <row r="226" spans="1:35">
      <c r="A226" t="s">
        <v>780</v>
      </c>
      <c r="B226">
        <v>45932</v>
      </c>
      <c r="C226">
        <v>45938</v>
      </c>
      <c r="D226" t="s">
        <v>781</v>
      </c>
      <c r="E226" t="s">
        <v>47</v>
      </c>
      <c r="F226" t="s">
        <v>37</v>
      </c>
      <c r="G226" t="s">
        <v>25</v>
      </c>
      <c r="H226" t="s">
        <v>122</v>
      </c>
      <c r="I226" t="s">
        <v>123</v>
      </c>
      <c r="J226" t="s">
        <v>41</v>
      </c>
      <c r="K226" t="s">
        <v>57</v>
      </c>
      <c r="L226" t="s">
        <v>782</v>
      </c>
      <c r="M226" t="s">
        <v>59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32</v>
      </c>
      <c r="U226" t="s">
        <v>68</v>
      </c>
      <c r="V226" t="s">
        <v>2834</v>
      </c>
      <c r="W226" t="s">
        <v>2834</v>
      </c>
      <c r="X226" t="s">
        <v>2834</v>
      </c>
      <c r="Y226" t="s">
        <v>2834</v>
      </c>
      <c r="Z226">
        <v>6</v>
      </c>
      <c r="AA226" t="s">
        <v>2790</v>
      </c>
      <c r="AB226">
        <v>0.25</v>
      </c>
      <c r="AC226" t="s">
        <v>2794</v>
      </c>
      <c r="AD226">
        <v>11833.92</v>
      </c>
      <c r="AE226">
        <v>5151</v>
      </c>
      <c r="AF226">
        <v>0.43527419485681834</v>
      </c>
      <c r="AG226" t="s">
        <v>2829</v>
      </c>
      <c r="AH226">
        <v>2025</v>
      </c>
      <c r="AI226" t="s">
        <v>2836</v>
      </c>
    </row>
    <row r="227" spans="1:35">
      <c r="A227" t="s">
        <v>783</v>
      </c>
      <c r="B227">
        <v>45537</v>
      </c>
      <c r="C227">
        <v>45545</v>
      </c>
      <c r="D227" t="s">
        <v>784</v>
      </c>
      <c r="E227" t="s">
        <v>36</v>
      </c>
      <c r="F227" t="s">
        <v>90</v>
      </c>
      <c r="G227" t="s">
        <v>63</v>
      </c>
      <c r="H227" t="s">
        <v>190</v>
      </c>
      <c r="I227" t="s">
        <v>191</v>
      </c>
      <c r="J227" t="s">
        <v>74</v>
      </c>
      <c r="K227" t="s">
        <v>171</v>
      </c>
      <c r="L227" t="s">
        <v>785</v>
      </c>
      <c r="M227" t="s">
        <v>59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32</v>
      </c>
      <c r="U227" t="s">
        <v>33</v>
      </c>
      <c r="V227" t="s">
        <v>2834</v>
      </c>
      <c r="W227" t="s">
        <v>2834</v>
      </c>
      <c r="X227" t="s">
        <v>2834</v>
      </c>
      <c r="Y227" t="s">
        <v>2834</v>
      </c>
      <c r="Z227">
        <v>8</v>
      </c>
      <c r="AA227" t="s">
        <v>2789</v>
      </c>
      <c r="AB227">
        <v>0.15</v>
      </c>
      <c r="AC227" t="s">
        <v>2794</v>
      </c>
      <c r="AD227">
        <v>5265.5969999999998</v>
      </c>
      <c r="AE227">
        <v>972.48700000000008</v>
      </c>
      <c r="AF227">
        <v>0.18468694053114967</v>
      </c>
      <c r="AG227" t="s">
        <v>2828</v>
      </c>
      <c r="AH227">
        <v>2024</v>
      </c>
      <c r="AI227" t="s">
        <v>2835</v>
      </c>
    </row>
    <row r="228" spans="1:35">
      <c r="A228" t="s">
        <v>786</v>
      </c>
      <c r="B228">
        <v>45757</v>
      </c>
      <c r="C228">
        <v>45762</v>
      </c>
      <c r="D228" t="s">
        <v>787</v>
      </c>
      <c r="E228" t="s">
        <v>162</v>
      </c>
      <c r="F228" t="s">
        <v>95</v>
      </c>
      <c r="G228" t="s">
        <v>2791</v>
      </c>
      <c r="H228" t="s">
        <v>185</v>
      </c>
      <c r="I228" t="s">
        <v>186</v>
      </c>
      <c r="J228" t="s">
        <v>74</v>
      </c>
      <c r="K228" t="s">
        <v>80</v>
      </c>
      <c r="L228" t="s">
        <v>788</v>
      </c>
      <c r="M228" t="s">
        <v>44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32</v>
      </c>
      <c r="U228" t="s">
        <v>33</v>
      </c>
      <c r="V228" t="s">
        <v>2834</v>
      </c>
      <c r="W228" t="s">
        <v>2834</v>
      </c>
      <c r="X228" t="s">
        <v>2834</v>
      </c>
      <c r="Y228" t="s">
        <v>2834</v>
      </c>
      <c r="Z228">
        <v>5</v>
      </c>
      <c r="AA228" t="s">
        <v>2789</v>
      </c>
      <c r="AB228">
        <v>0.1</v>
      </c>
      <c r="AC228" t="s">
        <v>2794</v>
      </c>
      <c r="AD228">
        <v>1987.443</v>
      </c>
      <c r="AE228">
        <v>877.21299999999997</v>
      </c>
      <c r="AF228">
        <v>0.44137768982556985</v>
      </c>
      <c r="AG228" t="s">
        <v>2823</v>
      </c>
      <c r="AH228">
        <v>2025</v>
      </c>
      <c r="AI228" t="s">
        <v>2838</v>
      </c>
    </row>
    <row r="229" spans="1:35">
      <c r="A229" t="s">
        <v>789</v>
      </c>
      <c r="B229">
        <v>45478</v>
      </c>
      <c r="C229">
        <v>45485</v>
      </c>
      <c r="D229" t="s">
        <v>790</v>
      </c>
      <c r="E229" t="s">
        <v>62</v>
      </c>
      <c r="F229" t="s">
        <v>37</v>
      </c>
      <c r="G229" t="s">
        <v>63</v>
      </c>
      <c r="H229" t="s">
        <v>190</v>
      </c>
      <c r="I229" t="s">
        <v>191</v>
      </c>
      <c r="J229" t="s">
        <v>28</v>
      </c>
      <c r="K229" t="s">
        <v>153</v>
      </c>
      <c r="L229" t="s">
        <v>791</v>
      </c>
      <c r="M229" t="s">
        <v>50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32</v>
      </c>
      <c r="U229" t="s">
        <v>33</v>
      </c>
      <c r="V229" t="s">
        <v>2834</v>
      </c>
      <c r="W229" t="s">
        <v>2834</v>
      </c>
      <c r="X229" t="s">
        <v>2834</v>
      </c>
      <c r="Y229" t="s">
        <v>2834</v>
      </c>
      <c r="Z229">
        <v>7</v>
      </c>
      <c r="AA229" t="s">
        <v>2789</v>
      </c>
      <c r="AB229">
        <v>0.15</v>
      </c>
      <c r="AC229" t="s">
        <v>2794</v>
      </c>
      <c r="AD229">
        <v>1473.2625</v>
      </c>
      <c r="AE229">
        <v>573.40250000000003</v>
      </c>
      <c r="AF229">
        <v>0.38920592901808065</v>
      </c>
      <c r="AG229" t="s">
        <v>2826</v>
      </c>
      <c r="AH229">
        <v>2024</v>
      </c>
      <c r="AI229" t="s">
        <v>2835</v>
      </c>
    </row>
    <row r="230" spans="1:35">
      <c r="A230" t="s">
        <v>792</v>
      </c>
      <c r="B230">
        <v>45406</v>
      </c>
      <c r="C230">
        <v>45410</v>
      </c>
      <c r="D230" t="s">
        <v>793</v>
      </c>
      <c r="E230" t="s">
        <v>23</v>
      </c>
      <c r="F230" t="s">
        <v>37</v>
      </c>
      <c r="G230" t="s">
        <v>54</v>
      </c>
      <c r="H230" t="s">
        <v>55</v>
      </c>
      <c r="I230" t="s">
        <v>56</v>
      </c>
      <c r="J230" t="s">
        <v>28</v>
      </c>
      <c r="K230" t="s">
        <v>91</v>
      </c>
      <c r="L230" t="s">
        <v>794</v>
      </c>
      <c r="M230" t="s">
        <v>31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32</v>
      </c>
      <c r="U230" t="s">
        <v>33</v>
      </c>
      <c r="V230" t="s">
        <v>2834</v>
      </c>
      <c r="W230" t="s">
        <v>2834</v>
      </c>
      <c r="X230" t="s">
        <v>2834</v>
      </c>
      <c r="Y230" t="s">
        <v>2834</v>
      </c>
      <c r="Z230">
        <v>4</v>
      </c>
      <c r="AA230" t="s">
        <v>2789</v>
      </c>
      <c r="AB230">
        <v>0.15</v>
      </c>
      <c r="AC230" t="s">
        <v>2794</v>
      </c>
      <c r="AD230">
        <v>2715.2145</v>
      </c>
      <c r="AE230">
        <v>1163.6645000000001</v>
      </c>
      <c r="AF230">
        <v>0.42857184948003191</v>
      </c>
      <c r="AG230" t="s">
        <v>2823</v>
      </c>
      <c r="AH230">
        <v>2024</v>
      </c>
      <c r="AI230" t="s">
        <v>2835</v>
      </c>
    </row>
    <row r="231" spans="1:35">
      <c r="A231" t="s">
        <v>795</v>
      </c>
      <c r="B231">
        <v>45836</v>
      </c>
      <c r="C231">
        <v>45842</v>
      </c>
      <c r="D231" t="s">
        <v>796</v>
      </c>
      <c r="E231" t="s">
        <v>141</v>
      </c>
      <c r="F231" t="s">
        <v>24</v>
      </c>
      <c r="G231" t="s">
        <v>54</v>
      </c>
      <c r="H231" t="s">
        <v>55</v>
      </c>
      <c r="I231" t="s">
        <v>56</v>
      </c>
      <c r="J231" t="s">
        <v>41</v>
      </c>
      <c r="K231" t="s">
        <v>158</v>
      </c>
      <c r="L231" t="s">
        <v>797</v>
      </c>
      <c r="M231" t="s">
        <v>50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102</v>
      </c>
      <c r="U231" t="s">
        <v>103</v>
      </c>
      <c r="V231" t="s">
        <v>2834</v>
      </c>
      <c r="W231" t="s">
        <v>2834</v>
      </c>
      <c r="X231" t="s">
        <v>2834</v>
      </c>
      <c r="Y231" t="s">
        <v>2834</v>
      </c>
      <c r="Z231">
        <v>6</v>
      </c>
      <c r="AA231" t="s">
        <v>2789</v>
      </c>
      <c r="AB231">
        <v>0</v>
      </c>
      <c r="AC231" t="s">
        <v>2794</v>
      </c>
      <c r="AD231">
        <v>8658.69</v>
      </c>
      <c r="AE231">
        <v>3122.7500000000009</v>
      </c>
      <c r="AF231">
        <v>0.36064924370776652</v>
      </c>
      <c r="AG231" t="s">
        <v>2825</v>
      </c>
      <c r="AH231">
        <v>2025</v>
      </c>
      <c r="AI231" t="s">
        <v>2835</v>
      </c>
    </row>
    <row r="232" spans="1:35">
      <c r="A232" t="s">
        <v>798</v>
      </c>
      <c r="B232">
        <v>45440</v>
      </c>
      <c r="C232">
        <v>45446</v>
      </c>
      <c r="D232" t="s">
        <v>799</v>
      </c>
      <c r="E232" t="s">
        <v>79</v>
      </c>
      <c r="F232" t="s">
        <v>37</v>
      </c>
      <c r="G232" t="s">
        <v>25</v>
      </c>
      <c r="H232" t="s">
        <v>26</v>
      </c>
      <c r="I232" t="s">
        <v>27</v>
      </c>
      <c r="J232" t="s">
        <v>28</v>
      </c>
      <c r="K232" t="s">
        <v>29</v>
      </c>
      <c r="L232" t="s">
        <v>800</v>
      </c>
      <c r="M232" t="s">
        <v>59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32</v>
      </c>
      <c r="U232" t="s">
        <v>33</v>
      </c>
      <c r="V232" t="s">
        <v>2834</v>
      </c>
      <c r="W232" t="s">
        <v>2834</v>
      </c>
      <c r="X232" t="s">
        <v>2834</v>
      </c>
      <c r="Y232" t="s">
        <v>2834</v>
      </c>
      <c r="Z232">
        <v>6</v>
      </c>
      <c r="AA232" t="s">
        <v>2789</v>
      </c>
      <c r="AB232">
        <v>0.1</v>
      </c>
      <c r="AC232" t="s">
        <v>2794</v>
      </c>
      <c r="AD232">
        <v>11090.376</v>
      </c>
      <c r="AE232">
        <v>2249.4259999999995</v>
      </c>
      <c r="AF232">
        <v>0.20282684734944958</v>
      </c>
      <c r="AG232" t="s">
        <v>2824</v>
      </c>
      <c r="AH232">
        <v>2024</v>
      </c>
      <c r="AI232" t="s">
        <v>2835</v>
      </c>
    </row>
    <row r="233" spans="1:35">
      <c r="A233" t="s">
        <v>801</v>
      </c>
      <c r="B233">
        <v>45414</v>
      </c>
      <c r="C233">
        <v>45414</v>
      </c>
      <c r="D233" t="s">
        <v>802</v>
      </c>
      <c r="E233" t="s">
        <v>62</v>
      </c>
      <c r="F233" t="s">
        <v>90</v>
      </c>
      <c r="G233" t="s">
        <v>25</v>
      </c>
      <c r="H233" t="s">
        <v>26</v>
      </c>
      <c r="I233" t="s">
        <v>27</v>
      </c>
      <c r="J233" t="s">
        <v>28</v>
      </c>
      <c r="K233" t="s">
        <v>91</v>
      </c>
      <c r="L233" t="s">
        <v>803</v>
      </c>
      <c r="M233" t="s">
        <v>50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102</v>
      </c>
      <c r="U233" t="s">
        <v>68</v>
      </c>
      <c r="V233" t="s">
        <v>2834</v>
      </c>
      <c r="W233" t="s">
        <v>2834</v>
      </c>
      <c r="X233" t="s">
        <v>2834</v>
      </c>
      <c r="Y233" t="s">
        <v>2834</v>
      </c>
      <c r="Z233">
        <v>0</v>
      </c>
      <c r="AA233" t="s">
        <v>2789</v>
      </c>
      <c r="AB233">
        <v>0.25</v>
      </c>
      <c r="AC233" t="s">
        <v>2794</v>
      </c>
      <c r="AD233">
        <v>11462.744999999999</v>
      </c>
      <c r="AE233">
        <v>4299.204999999999</v>
      </c>
      <c r="AF233">
        <v>0.37505894094302888</v>
      </c>
      <c r="AG233" t="s">
        <v>2824</v>
      </c>
      <c r="AH233">
        <v>2024</v>
      </c>
      <c r="AI233" t="s">
        <v>2835</v>
      </c>
    </row>
    <row r="234" spans="1:35">
      <c r="A234" t="s">
        <v>804</v>
      </c>
      <c r="B234">
        <v>45812</v>
      </c>
      <c r="C234">
        <v>45818</v>
      </c>
      <c r="D234" t="s">
        <v>805</v>
      </c>
      <c r="E234" t="s">
        <v>118</v>
      </c>
      <c r="F234" t="s">
        <v>24</v>
      </c>
      <c r="G234" t="s">
        <v>54</v>
      </c>
      <c r="H234" t="s">
        <v>84</v>
      </c>
      <c r="I234" t="s">
        <v>85</v>
      </c>
      <c r="J234" t="s">
        <v>74</v>
      </c>
      <c r="K234" t="s">
        <v>171</v>
      </c>
      <c r="L234" t="s">
        <v>806</v>
      </c>
      <c r="M234" t="s">
        <v>59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32</v>
      </c>
      <c r="U234" t="s">
        <v>33</v>
      </c>
      <c r="V234" t="s">
        <v>2834</v>
      </c>
      <c r="W234" t="s">
        <v>2834</v>
      </c>
      <c r="X234" t="s">
        <v>2834</v>
      </c>
      <c r="Y234" t="s">
        <v>2834</v>
      </c>
      <c r="Z234">
        <v>6</v>
      </c>
      <c r="AA234" t="s">
        <v>2789</v>
      </c>
      <c r="AB234">
        <v>0.25</v>
      </c>
      <c r="AC234" t="s">
        <v>2794</v>
      </c>
      <c r="AD234">
        <v>670.11</v>
      </c>
      <c r="AE234">
        <v>110.53999999999996</v>
      </c>
      <c r="AF234">
        <v>0.16495799197146732</v>
      </c>
      <c r="AG234" t="s">
        <v>2825</v>
      </c>
      <c r="AH234">
        <v>2025</v>
      </c>
      <c r="AI234" t="s">
        <v>2835</v>
      </c>
    </row>
    <row r="235" spans="1:35">
      <c r="A235" t="s">
        <v>807</v>
      </c>
      <c r="B235">
        <v>45579</v>
      </c>
      <c r="C235">
        <v>45579</v>
      </c>
      <c r="D235" t="s">
        <v>808</v>
      </c>
      <c r="E235" t="s">
        <v>71</v>
      </c>
      <c r="F235" t="s">
        <v>90</v>
      </c>
      <c r="G235" t="s">
        <v>54</v>
      </c>
      <c r="H235" t="s">
        <v>175</v>
      </c>
      <c r="I235" t="s">
        <v>176</v>
      </c>
      <c r="J235" t="s">
        <v>41</v>
      </c>
      <c r="K235" t="s">
        <v>158</v>
      </c>
      <c r="L235" t="s">
        <v>809</v>
      </c>
      <c r="M235" t="s">
        <v>2791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32</v>
      </c>
      <c r="U235" t="s">
        <v>33</v>
      </c>
      <c r="V235" t="s">
        <v>2834</v>
      </c>
      <c r="W235" t="s">
        <v>2834</v>
      </c>
      <c r="X235" t="s">
        <v>2834</v>
      </c>
      <c r="Y235" t="s">
        <v>2834</v>
      </c>
      <c r="Z235">
        <v>0</v>
      </c>
      <c r="AA235" t="s">
        <v>2789</v>
      </c>
      <c r="AB235">
        <v>0</v>
      </c>
      <c r="AC235" t="s">
        <v>2794</v>
      </c>
      <c r="AD235">
        <v>31236.720000000001</v>
      </c>
      <c r="AE235">
        <v>4859.0200000000004</v>
      </c>
      <c r="AF235">
        <v>0.15555474454424154</v>
      </c>
      <c r="AG235" t="s">
        <v>2829</v>
      </c>
      <c r="AH235">
        <v>2024</v>
      </c>
      <c r="AI235" t="s">
        <v>2838</v>
      </c>
    </row>
    <row r="236" spans="1:35">
      <c r="A236" t="s">
        <v>810</v>
      </c>
      <c r="B236">
        <v>45537</v>
      </c>
      <c r="C236">
        <v>45538</v>
      </c>
      <c r="D236" t="s">
        <v>811</v>
      </c>
      <c r="E236" t="s">
        <v>264</v>
      </c>
      <c r="F236" t="s">
        <v>95</v>
      </c>
      <c r="G236" t="s">
        <v>25</v>
      </c>
      <c r="H236" t="s">
        <v>350</v>
      </c>
      <c r="I236" t="s">
        <v>351</v>
      </c>
      <c r="J236" t="s">
        <v>41</v>
      </c>
      <c r="K236" t="s">
        <v>57</v>
      </c>
      <c r="L236" t="s">
        <v>812</v>
      </c>
      <c r="M236" t="s">
        <v>50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32</v>
      </c>
      <c r="U236" t="s">
        <v>33</v>
      </c>
      <c r="V236" t="s">
        <v>2834</v>
      </c>
      <c r="W236" t="s">
        <v>2834</v>
      </c>
      <c r="X236" t="s">
        <v>2834</v>
      </c>
      <c r="Y236" t="s">
        <v>2834</v>
      </c>
      <c r="Z236">
        <v>1</v>
      </c>
      <c r="AA236" t="s">
        <v>2789</v>
      </c>
      <c r="AB236">
        <v>0.1</v>
      </c>
      <c r="AC236" t="s">
        <v>2794</v>
      </c>
      <c r="AD236">
        <v>10964.241</v>
      </c>
      <c r="AE236">
        <v>1701.7710000000006</v>
      </c>
      <c r="AF236">
        <v>0.15521101734265058</v>
      </c>
      <c r="AG236" t="s">
        <v>2828</v>
      </c>
      <c r="AH236">
        <v>2024</v>
      </c>
      <c r="AI236" t="s">
        <v>2835</v>
      </c>
    </row>
    <row r="237" spans="1:35">
      <c r="A237" t="s">
        <v>813</v>
      </c>
      <c r="B237">
        <v>45598</v>
      </c>
      <c r="C237">
        <v>45599</v>
      </c>
      <c r="D237" t="s">
        <v>814</v>
      </c>
      <c r="E237" t="s">
        <v>118</v>
      </c>
      <c r="F237" t="s">
        <v>37</v>
      </c>
      <c r="G237" t="s">
        <v>63</v>
      </c>
      <c r="H237" t="s">
        <v>26</v>
      </c>
      <c r="I237" t="s">
        <v>109</v>
      </c>
      <c r="J237" t="s">
        <v>28</v>
      </c>
      <c r="K237" t="s">
        <v>124</v>
      </c>
      <c r="L237" t="s">
        <v>815</v>
      </c>
      <c r="M237" t="s">
        <v>59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32</v>
      </c>
      <c r="U237" t="s">
        <v>33</v>
      </c>
      <c r="V237" t="s">
        <v>2834</v>
      </c>
      <c r="W237" t="s">
        <v>2834</v>
      </c>
      <c r="X237" t="s">
        <v>2834</v>
      </c>
      <c r="Y237" t="s">
        <v>2834</v>
      </c>
      <c r="Z237">
        <v>1</v>
      </c>
      <c r="AA237" t="s">
        <v>2789</v>
      </c>
      <c r="AB237">
        <v>0.05</v>
      </c>
      <c r="AC237" t="s">
        <v>2794</v>
      </c>
      <c r="AD237">
        <v>15226.352999999999</v>
      </c>
      <c r="AE237">
        <v>4081.0729999999985</v>
      </c>
      <c r="AF237">
        <v>0.26802695300706603</v>
      </c>
      <c r="AG237" t="s">
        <v>2830</v>
      </c>
      <c r="AH237">
        <v>2024</v>
      </c>
      <c r="AI237" t="s">
        <v>2835</v>
      </c>
    </row>
    <row r="238" spans="1:35">
      <c r="A238" t="s">
        <v>816</v>
      </c>
      <c r="B238">
        <v>45579</v>
      </c>
      <c r="C238">
        <v>45586</v>
      </c>
      <c r="D238" t="s">
        <v>817</v>
      </c>
      <c r="E238" t="s">
        <v>114</v>
      </c>
      <c r="F238" t="s">
        <v>90</v>
      </c>
      <c r="G238" t="s">
        <v>25</v>
      </c>
      <c r="H238" t="s">
        <v>136</v>
      </c>
      <c r="I238" t="s">
        <v>137</v>
      </c>
      <c r="J238" t="s">
        <v>41</v>
      </c>
      <c r="K238" t="s">
        <v>158</v>
      </c>
      <c r="L238" t="s">
        <v>818</v>
      </c>
      <c r="M238" t="s">
        <v>50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32</v>
      </c>
      <c r="U238" t="s">
        <v>33</v>
      </c>
      <c r="V238" t="s">
        <v>2834</v>
      </c>
      <c r="W238" t="s">
        <v>2834</v>
      </c>
      <c r="X238" t="s">
        <v>2834</v>
      </c>
      <c r="Y238" t="s">
        <v>2834</v>
      </c>
      <c r="Z238">
        <v>7</v>
      </c>
      <c r="AA238" t="s">
        <v>2789</v>
      </c>
      <c r="AB238">
        <v>0</v>
      </c>
      <c r="AC238" t="s">
        <v>2794</v>
      </c>
      <c r="AD238">
        <v>24376.68</v>
      </c>
      <c r="AE238">
        <v>5843.2900000000009</v>
      </c>
      <c r="AF238">
        <v>0.23970819652224998</v>
      </c>
      <c r="AG238" t="s">
        <v>2829</v>
      </c>
      <c r="AH238">
        <v>2024</v>
      </c>
      <c r="AI238" t="s">
        <v>2835</v>
      </c>
    </row>
    <row r="239" spans="1:35">
      <c r="A239" t="s">
        <v>819</v>
      </c>
      <c r="B239">
        <v>45531</v>
      </c>
      <c r="C239">
        <v>45531</v>
      </c>
      <c r="D239" t="s">
        <v>820</v>
      </c>
      <c r="E239" t="s">
        <v>36</v>
      </c>
      <c r="F239" t="s">
        <v>24</v>
      </c>
      <c r="G239" t="s">
        <v>25</v>
      </c>
      <c r="H239" t="s">
        <v>236</v>
      </c>
      <c r="I239" t="s">
        <v>237</v>
      </c>
      <c r="J239" t="s">
        <v>74</v>
      </c>
      <c r="K239" t="s">
        <v>80</v>
      </c>
      <c r="L239" t="s">
        <v>821</v>
      </c>
      <c r="M239" t="s">
        <v>59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32</v>
      </c>
      <c r="U239" t="s">
        <v>33</v>
      </c>
      <c r="V239" t="s">
        <v>2834</v>
      </c>
      <c r="W239" t="s">
        <v>2834</v>
      </c>
      <c r="X239" t="s">
        <v>2834</v>
      </c>
      <c r="Y239" t="s">
        <v>2834</v>
      </c>
      <c r="Z239">
        <v>0</v>
      </c>
      <c r="AA239" t="s">
        <v>2789</v>
      </c>
      <c r="AB239">
        <v>0</v>
      </c>
      <c r="AC239" t="s">
        <v>2794</v>
      </c>
      <c r="AD239">
        <v>20972.7</v>
      </c>
      <c r="AE239">
        <v>7467.8200000000015</v>
      </c>
      <c r="AF239">
        <v>0.35607337157352181</v>
      </c>
      <c r="AG239" t="s">
        <v>2827</v>
      </c>
      <c r="AH239">
        <v>2024</v>
      </c>
      <c r="AI239" t="s">
        <v>2835</v>
      </c>
    </row>
    <row r="240" spans="1:35">
      <c r="A240" t="s">
        <v>822</v>
      </c>
      <c r="B240">
        <v>45303</v>
      </c>
      <c r="C240">
        <v>45308</v>
      </c>
      <c r="D240" t="s">
        <v>823</v>
      </c>
      <c r="E240" t="s">
        <v>53</v>
      </c>
      <c r="F240" t="s">
        <v>24</v>
      </c>
      <c r="G240" t="s">
        <v>54</v>
      </c>
      <c r="H240" t="s">
        <v>84</v>
      </c>
      <c r="I240" t="s">
        <v>85</v>
      </c>
      <c r="J240" t="s">
        <v>28</v>
      </c>
      <c r="K240" t="s">
        <v>124</v>
      </c>
      <c r="L240" t="s">
        <v>824</v>
      </c>
      <c r="M240" t="s">
        <v>50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32</v>
      </c>
      <c r="U240" t="s">
        <v>33</v>
      </c>
      <c r="V240" t="s">
        <v>2834</v>
      </c>
      <c r="W240" t="s">
        <v>2834</v>
      </c>
      <c r="X240" t="s">
        <v>2834</v>
      </c>
      <c r="Y240" t="s">
        <v>2834</v>
      </c>
      <c r="Z240">
        <v>5</v>
      </c>
      <c r="AA240" t="s">
        <v>2789</v>
      </c>
      <c r="AB240">
        <v>0.55000000000000004</v>
      </c>
      <c r="AC240" t="s">
        <v>2794</v>
      </c>
      <c r="AD240">
        <v>12615.907499999999</v>
      </c>
      <c r="AE240">
        <v>-6222.8425000000007</v>
      </c>
      <c r="AF240">
        <v>-0.4932536561480021</v>
      </c>
      <c r="AG240" t="s">
        <v>2820</v>
      </c>
      <c r="AH240">
        <v>2024</v>
      </c>
      <c r="AI240" t="s">
        <v>2835</v>
      </c>
    </row>
    <row r="241" spans="1:35">
      <c r="A241" t="s">
        <v>825</v>
      </c>
      <c r="B241">
        <v>45556</v>
      </c>
      <c r="C241">
        <v>45556</v>
      </c>
      <c r="D241" t="s">
        <v>826</v>
      </c>
      <c r="E241" t="s">
        <v>264</v>
      </c>
      <c r="F241" t="s">
        <v>90</v>
      </c>
      <c r="G241" t="s">
        <v>54</v>
      </c>
      <c r="H241" t="s">
        <v>175</v>
      </c>
      <c r="I241" t="s">
        <v>176</v>
      </c>
      <c r="J241" t="s">
        <v>74</v>
      </c>
      <c r="K241" t="s">
        <v>274</v>
      </c>
      <c r="L241" t="s">
        <v>827</v>
      </c>
      <c r="M241" t="s">
        <v>50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32</v>
      </c>
      <c r="U241" t="s">
        <v>33</v>
      </c>
      <c r="V241" t="s">
        <v>2834</v>
      </c>
      <c r="W241" t="s">
        <v>2834</v>
      </c>
      <c r="X241" t="s">
        <v>2834</v>
      </c>
      <c r="Y241" t="s">
        <v>2834</v>
      </c>
      <c r="Z241">
        <v>0</v>
      </c>
      <c r="AA241" t="s">
        <v>2789</v>
      </c>
      <c r="AB241">
        <v>0.2</v>
      </c>
      <c r="AC241" t="s">
        <v>2794</v>
      </c>
      <c r="AD241">
        <v>3136.096</v>
      </c>
      <c r="AE241">
        <v>856.60600000000022</v>
      </c>
      <c r="AF241">
        <v>0.273144061916472</v>
      </c>
      <c r="AG241" t="s">
        <v>2828</v>
      </c>
      <c r="AH241">
        <v>2024</v>
      </c>
      <c r="AI241" t="s">
        <v>2835</v>
      </c>
    </row>
    <row r="242" spans="1:35">
      <c r="A242" t="s">
        <v>828</v>
      </c>
      <c r="B242">
        <v>45643</v>
      </c>
      <c r="C242">
        <v>45649</v>
      </c>
      <c r="D242" t="s">
        <v>829</v>
      </c>
      <c r="E242" t="s">
        <v>128</v>
      </c>
      <c r="F242" t="s">
        <v>90</v>
      </c>
      <c r="G242" t="s">
        <v>54</v>
      </c>
      <c r="H242" t="s">
        <v>55</v>
      </c>
      <c r="I242" t="s">
        <v>56</v>
      </c>
      <c r="J242" t="s">
        <v>28</v>
      </c>
      <c r="K242" t="s">
        <v>153</v>
      </c>
      <c r="L242" t="s">
        <v>830</v>
      </c>
      <c r="M242" t="s">
        <v>50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32</v>
      </c>
      <c r="U242" t="s">
        <v>33</v>
      </c>
      <c r="V242" t="s">
        <v>2834</v>
      </c>
      <c r="W242" t="s">
        <v>2834</v>
      </c>
      <c r="X242" t="s">
        <v>2834</v>
      </c>
      <c r="Y242" t="s">
        <v>2834</v>
      </c>
      <c r="Z242">
        <v>6</v>
      </c>
      <c r="AA242" t="s">
        <v>2789</v>
      </c>
      <c r="AB242">
        <v>0</v>
      </c>
      <c r="AC242" t="s">
        <v>2794</v>
      </c>
      <c r="AD242">
        <v>20835.899999999998</v>
      </c>
      <c r="AE242">
        <v>6907.7099999999973</v>
      </c>
      <c r="AF242">
        <v>0.33152923559817421</v>
      </c>
      <c r="AG242" t="s">
        <v>2831</v>
      </c>
      <c r="AH242">
        <v>2024</v>
      </c>
      <c r="AI242" t="s">
        <v>2835</v>
      </c>
    </row>
    <row r="243" spans="1:35">
      <c r="A243" t="s">
        <v>831</v>
      </c>
      <c r="B243">
        <v>45844</v>
      </c>
      <c r="C243">
        <v>45844</v>
      </c>
      <c r="D243" t="s">
        <v>832</v>
      </c>
      <c r="E243" t="s">
        <v>132</v>
      </c>
      <c r="F243" t="s">
        <v>90</v>
      </c>
      <c r="G243" t="s">
        <v>25</v>
      </c>
      <c r="H243" t="s">
        <v>236</v>
      </c>
      <c r="I243" t="s">
        <v>237</v>
      </c>
      <c r="J243" t="s">
        <v>28</v>
      </c>
      <c r="K243" t="s">
        <v>124</v>
      </c>
      <c r="L243" t="s">
        <v>833</v>
      </c>
      <c r="M243" t="s">
        <v>59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111</v>
      </c>
      <c r="U243" t="s">
        <v>103</v>
      </c>
      <c r="V243" t="s">
        <v>2834</v>
      </c>
      <c r="W243" t="s">
        <v>2834</v>
      </c>
      <c r="X243" t="s">
        <v>2834</v>
      </c>
      <c r="Y243" t="s">
        <v>2834</v>
      </c>
      <c r="Z243">
        <v>0</v>
      </c>
      <c r="AA243" t="s">
        <v>2789</v>
      </c>
      <c r="AB243">
        <v>0.25</v>
      </c>
      <c r="AC243" t="s">
        <v>2794</v>
      </c>
      <c r="AD243">
        <v>1212.9000000000001</v>
      </c>
      <c r="AE243">
        <v>522.38000000000011</v>
      </c>
      <c r="AF243">
        <v>0.4306867837414462</v>
      </c>
      <c r="AG243" t="s">
        <v>2826</v>
      </c>
      <c r="AH243">
        <v>2025</v>
      </c>
      <c r="AI243" t="s">
        <v>2835</v>
      </c>
    </row>
    <row r="244" spans="1:35">
      <c r="A244" t="s">
        <v>834</v>
      </c>
      <c r="B244">
        <v>45695</v>
      </c>
      <c r="C244">
        <v>45695</v>
      </c>
      <c r="D244" t="s">
        <v>835</v>
      </c>
      <c r="E244" t="s">
        <v>53</v>
      </c>
      <c r="F244" t="s">
        <v>24</v>
      </c>
      <c r="G244" t="s">
        <v>25</v>
      </c>
      <c r="H244" t="s">
        <v>136</v>
      </c>
      <c r="I244" t="s">
        <v>137</v>
      </c>
      <c r="J244" t="s">
        <v>28</v>
      </c>
      <c r="K244" t="s">
        <v>48</v>
      </c>
      <c r="L244" t="s">
        <v>836</v>
      </c>
      <c r="M244" t="s">
        <v>31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32</v>
      </c>
      <c r="U244" t="s">
        <v>33</v>
      </c>
      <c r="V244" t="s">
        <v>2834</v>
      </c>
      <c r="W244" t="s">
        <v>2834</v>
      </c>
      <c r="X244" t="s">
        <v>2834</v>
      </c>
      <c r="Y244" t="s">
        <v>2834</v>
      </c>
      <c r="Z244">
        <v>0</v>
      </c>
      <c r="AA244" t="s">
        <v>2789</v>
      </c>
      <c r="AB244">
        <v>0.05</v>
      </c>
      <c r="AC244" t="s">
        <v>2794</v>
      </c>
      <c r="AD244">
        <v>5697.8339999999998</v>
      </c>
      <c r="AE244">
        <v>1446.3339999999998</v>
      </c>
      <c r="AF244">
        <v>0.25383926593860051</v>
      </c>
      <c r="AG244" t="s">
        <v>2821</v>
      </c>
      <c r="AH244">
        <v>2025</v>
      </c>
      <c r="AI244" t="s">
        <v>2835</v>
      </c>
    </row>
    <row r="245" spans="1:35">
      <c r="A245" t="s">
        <v>837</v>
      </c>
      <c r="B245">
        <v>45867</v>
      </c>
      <c r="C245">
        <v>45871</v>
      </c>
      <c r="D245" t="s">
        <v>838</v>
      </c>
      <c r="E245" t="s">
        <v>132</v>
      </c>
      <c r="F245" t="s">
        <v>37</v>
      </c>
      <c r="G245" t="s">
        <v>2791</v>
      </c>
      <c r="H245" t="s">
        <v>72</v>
      </c>
      <c r="I245" t="s">
        <v>73</v>
      </c>
      <c r="J245" t="s">
        <v>74</v>
      </c>
      <c r="K245" t="s">
        <v>75</v>
      </c>
      <c r="L245" t="s">
        <v>839</v>
      </c>
      <c r="M245" t="s">
        <v>50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32</v>
      </c>
      <c r="U245" t="s">
        <v>33</v>
      </c>
      <c r="V245" t="s">
        <v>2834</v>
      </c>
      <c r="W245" t="s">
        <v>2834</v>
      </c>
      <c r="X245" t="s">
        <v>2834</v>
      </c>
      <c r="Y245" t="s">
        <v>2834</v>
      </c>
      <c r="Z245">
        <v>4</v>
      </c>
      <c r="AA245" t="s">
        <v>2789</v>
      </c>
      <c r="AB245">
        <v>0.1</v>
      </c>
      <c r="AC245" t="s">
        <v>2794</v>
      </c>
      <c r="AD245">
        <v>4049.5140000000001</v>
      </c>
      <c r="AE245">
        <v>1540.3140000000003</v>
      </c>
      <c r="AF245">
        <v>0.38037008885510715</v>
      </c>
      <c r="AG245" t="s">
        <v>2826</v>
      </c>
      <c r="AH245">
        <v>2025</v>
      </c>
      <c r="AI245" t="s">
        <v>2838</v>
      </c>
    </row>
    <row r="246" spans="1:35">
      <c r="A246" t="s">
        <v>840</v>
      </c>
      <c r="B246">
        <v>45527</v>
      </c>
      <c r="C246">
        <v>45528</v>
      </c>
      <c r="D246" t="s">
        <v>841</v>
      </c>
      <c r="E246" t="s">
        <v>79</v>
      </c>
      <c r="F246" t="s">
        <v>24</v>
      </c>
      <c r="G246" t="s">
        <v>54</v>
      </c>
      <c r="H246" t="s">
        <v>55</v>
      </c>
      <c r="I246" t="s">
        <v>56</v>
      </c>
      <c r="J246" t="s">
        <v>41</v>
      </c>
      <c r="K246" t="s">
        <v>158</v>
      </c>
      <c r="L246" t="s">
        <v>842</v>
      </c>
      <c r="M246" t="s">
        <v>44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32</v>
      </c>
      <c r="U246" t="s">
        <v>33</v>
      </c>
      <c r="V246" t="s">
        <v>2834</v>
      </c>
      <c r="W246" t="s">
        <v>2834</v>
      </c>
      <c r="X246" t="s">
        <v>2834</v>
      </c>
      <c r="Y246" t="s">
        <v>2834</v>
      </c>
      <c r="Z246">
        <v>1</v>
      </c>
      <c r="AA246" t="s">
        <v>2789</v>
      </c>
      <c r="AB246">
        <v>0</v>
      </c>
      <c r="AC246" t="s">
        <v>2794</v>
      </c>
      <c r="AD246">
        <v>6131.34</v>
      </c>
      <c r="AE246">
        <v>2070.46</v>
      </c>
      <c r="AF246">
        <v>0.33768474754295147</v>
      </c>
      <c r="AG246" t="s">
        <v>2827</v>
      </c>
      <c r="AH246">
        <v>2024</v>
      </c>
      <c r="AI246" t="s">
        <v>2835</v>
      </c>
    </row>
    <row r="247" spans="1:35">
      <c r="A247" t="s">
        <v>843</v>
      </c>
      <c r="B247">
        <v>45583</v>
      </c>
      <c r="C247">
        <v>45589</v>
      </c>
      <c r="D247" t="s">
        <v>844</v>
      </c>
      <c r="E247" t="s">
        <v>79</v>
      </c>
      <c r="F247" t="s">
        <v>95</v>
      </c>
      <c r="G247" t="s">
        <v>54</v>
      </c>
      <c r="H247" t="s">
        <v>185</v>
      </c>
      <c r="I247" t="s">
        <v>186</v>
      </c>
      <c r="J247" t="s">
        <v>41</v>
      </c>
      <c r="K247" t="s">
        <v>66</v>
      </c>
      <c r="L247" t="s">
        <v>845</v>
      </c>
      <c r="M247" t="s">
        <v>31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32</v>
      </c>
      <c r="U247" t="s">
        <v>33</v>
      </c>
      <c r="V247" t="s">
        <v>2834</v>
      </c>
      <c r="W247" t="s">
        <v>2834</v>
      </c>
      <c r="X247" t="s">
        <v>2834</v>
      </c>
      <c r="Y247" t="s">
        <v>2834</v>
      </c>
      <c r="Z247">
        <v>6</v>
      </c>
      <c r="AA247" t="s">
        <v>2789</v>
      </c>
      <c r="AB247">
        <v>0</v>
      </c>
      <c r="AC247" t="s">
        <v>2794</v>
      </c>
      <c r="AD247">
        <v>9827.7899999999991</v>
      </c>
      <c r="AE247">
        <v>4349.5099999999993</v>
      </c>
      <c r="AF247">
        <v>0.44257254174132737</v>
      </c>
      <c r="AG247" t="s">
        <v>2829</v>
      </c>
      <c r="AH247">
        <v>2024</v>
      </c>
      <c r="AI247" t="s">
        <v>2835</v>
      </c>
    </row>
    <row r="248" spans="1:35">
      <c r="A248" t="s">
        <v>846</v>
      </c>
      <c r="B248">
        <v>45416</v>
      </c>
      <c r="C248">
        <v>45421</v>
      </c>
      <c r="D248" t="s">
        <v>847</v>
      </c>
      <c r="E248" t="s">
        <v>62</v>
      </c>
      <c r="F248" t="s">
        <v>90</v>
      </c>
      <c r="G248" t="s">
        <v>25</v>
      </c>
      <c r="H248" t="s">
        <v>122</v>
      </c>
      <c r="I248" t="s">
        <v>123</v>
      </c>
      <c r="J248" t="s">
        <v>74</v>
      </c>
      <c r="K248" t="s">
        <v>274</v>
      </c>
      <c r="L248" t="s">
        <v>848</v>
      </c>
      <c r="M248" t="s">
        <v>44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102</v>
      </c>
      <c r="U248" t="s">
        <v>68</v>
      </c>
      <c r="V248" t="s">
        <v>2834</v>
      </c>
      <c r="W248" t="s">
        <v>2834</v>
      </c>
      <c r="X248" t="s">
        <v>2834</v>
      </c>
      <c r="Y248" t="s">
        <v>2834</v>
      </c>
      <c r="Z248">
        <v>5</v>
      </c>
      <c r="AA248" t="s">
        <v>2789</v>
      </c>
      <c r="AB248">
        <v>0.25</v>
      </c>
      <c r="AC248" t="s">
        <v>2794</v>
      </c>
      <c r="AD248">
        <v>521.88749999999993</v>
      </c>
      <c r="AE248">
        <v>77.36749999999995</v>
      </c>
      <c r="AF248">
        <v>0.14824555100476627</v>
      </c>
      <c r="AG248" t="s">
        <v>2824</v>
      </c>
      <c r="AH248">
        <v>2024</v>
      </c>
      <c r="AI248" t="s">
        <v>2835</v>
      </c>
    </row>
    <row r="249" spans="1:35">
      <c r="A249" t="s">
        <v>849</v>
      </c>
      <c r="B249">
        <v>45498</v>
      </c>
      <c r="C249">
        <v>45505</v>
      </c>
      <c r="D249" t="s">
        <v>850</v>
      </c>
      <c r="E249" t="s">
        <v>118</v>
      </c>
      <c r="F249" t="s">
        <v>90</v>
      </c>
      <c r="G249" t="s">
        <v>25</v>
      </c>
      <c r="H249" t="s">
        <v>26</v>
      </c>
      <c r="I249" t="s">
        <v>27</v>
      </c>
      <c r="J249" t="s">
        <v>74</v>
      </c>
      <c r="K249" t="s">
        <v>75</v>
      </c>
      <c r="L249" t="s">
        <v>851</v>
      </c>
      <c r="M249" t="s">
        <v>31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32</v>
      </c>
      <c r="U249" t="s">
        <v>33</v>
      </c>
      <c r="V249" t="s">
        <v>2834</v>
      </c>
      <c r="W249" t="s">
        <v>2834</v>
      </c>
      <c r="X249" t="s">
        <v>2834</v>
      </c>
      <c r="Y249" t="s">
        <v>2834</v>
      </c>
      <c r="Z249">
        <v>7</v>
      </c>
      <c r="AA249" t="s">
        <v>2789</v>
      </c>
      <c r="AB249">
        <v>0.25</v>
      </c>
      <c r="AC249" t="s">
        <v>2794</v>
      </c>
      <c r="AD249">
        <v>14960.400000000001</v>
      </c>
      <c r="AE249">
        <v>2459.5600000000013</v>
      </c>
      <c r="AF249">
        <v>0.16440469506162944</v>
      </c>
      <c r="AG249" t="s">
        <v>2826</v>
      </c>
      <c r="AH249">
        <v>2024</v>
      </c>
      <c r="AI249" t="s">
        <v>2835</v>
      </c>
    </row>
    <row r="250" spans="1:35">
      <c r="A250" t="s">
        <v>852</v>
      </c>
      <c r="B250">
        <v>45445</v>
      </c>
      <c r="C250">
        <v>45450</v>
      </c>
      <c r="D250" t="s">
        <v>853</v>
      </c>
      <c r="E250" t="s">
        <v>141</v>
      </c>
      <c r="F250" t="s">
        <v>95</v>
      </c>
      <c r="G250" t="s">
        <v>38</v>
      </c>
      <c r="H250" t="s">
        <v>39</v>
      </c>
      <c r="I250" t="s">
        <v>40</v>
      </c>
      <c r="J250" t="s">
        <v>28</v>
      </c>
      <c r="K250" t="s">
        <v>91</v>
      </c>
      <c r="L250" t="s">
        <v>854</v>
      </c>
      <c r="M250" t="s">
        <v>31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32</v>
      </c>
      <c r="U250" t="s">
        <v>33</v>
      </c>
      <c r="V250" t="s">
        <v>2834</v>
      </c>
      <c r="W250" t="s">
        <v>2834</v>
      </c>
      <c r="X250" t="s">
        <v>2834</v>
      </c>
      <c r="Y250" t="s">
        <v>2834</v>
      </c>
      <c r="Z250">
        <v>5</v>
      </c>
      <c r="AA250" t="s">
        <v>2789</v>
      </c>
      <c r="AB250">
        <v>0.15</v>
      </c>
      <c r="AC250" t="s">
        <v>2794</v>
      </c>
      <c r="AD250">
        <v>6027.5114999999996</v>
      </c>
      <c r="AE250">
        <v>1143.6914999999999</v>
      </c>
      <c r="AF250">
        <v>0.18974522072666306</v>
      </c>
      <c r="AG250" t="s">
        <v>2825</v>
      </c>
      <c r="AH250">
        <v>2024</v>
      </c>
      <c r="AI250" t="s">
        <v>2835</v>
      </c>
    </row>
    <row r="251" spans="1:35">
      <c r="A251" t="s">
        <v>855</v>
      </c>
      <c r="B251">
        <v>45870</v>
      </c>
      <c r="C251">
        <v>45871</v>
      </c>
      <c r="D251" t="s">
        <v>856</v>
      </c>
      <c r="E251" t="s">
        <v>36</v>
      </c>
      <c r="F251" t="s">
        <v>90</v>
      </c>
      <c r="G251" t="s">
        <v>25</v>
      </c>
      <c r="H251" t="s">
        <v>26</v>
      </c>
      <c r="I251" t="s">
        <v>27</v>
      </c>
      <c r="J251" t="s">
        <v>41</v>
      </c>
      <c r="K251" t="s">
        <v>57</v>
      </c>
      <c r="L251" t="s">
        <v>857</v>
      </c>
      <c r="M251" t="s">
        <v>50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32</v>
      </c>
      <c r="U251" t="s">
        <v>33</v>
      </c>
      <c r="V251" t="s">
        <v>2834</v>
      </c>
      <c r="W251" t="s">
        <v>2834</v>
      </c>
      <c r="X251" t="s">
        <v>2834</v>
      </c>
      <c r="Y251" t="s">
        <v>2834</v>
      </c>
      <c r="Z251">
        <v>1</v>
      </c>
      <c r="AA251" t="s">
        <v>2789</v>
      </c>
      <c r="AB251">
        <v>0.2</v>
      </c>
      <c r="AC251" t="s">
        <v>2794</v>
      </c>
      <c r="AD251">
        <v>8928.9279999999999</v>
      </c>
      <c r="AE251">
        <v>3294.5479999999998</v>
      </c>
      <c r="AF251">
        <v>0.36897464062875185</v>
      </c>
      <c r="AG251" t="s">
        <v>2827</v>
      </c>
      <c r="AH251">
        <v>2025</v>
      </c>
      <c r="AI251" t="s">
        <v>2835</v>
      </c>
    </row>
    <row r="252" spans="1:35">
      <c r="A252" t="s">
        <v>858</v>
      </c>
      <c r="B252">
        <v>45343</v>
      </c>
      <c r="C252">
        <v>45349</v>
      </c>
      <c r="D252" t="s">
        <v>859</v>
      </c>
      <c r="E252" t="s">
        <v>53</v>
      </c>
      <c r="F252" t="s">
        <v>37</v>
      </c>
      <c r="G252" t="s">
        <v>38</v>
      </c>
      <c r="H252" t="s">
        <v>99</v>
      </c>
      <c r="I252" t="s">
        <v>100</v>
      </c>
      <c r="J252" t="s">
        <v>41</v>
      </c>
      <c r="K252" t="s">
        <v>57</v>
      </c>
      <c r="L252" t="s">
        <v>860</v>
      </c>
      <c r="M252" t="s">
        <v>59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111</v>
      </c>
      <c r="U252" t="s">
        <v>103</v>
      </c>
      <c r="V252" t="s">
        <v>2834</v>
      </c>
      <c r="W252" t="s">
        <v>2834</v>
      </c>
      <c r="X252" t="s">
        <v>2834</v>
      </c>
      <c r="Y252" t="s">
        <v>2834</v>
      </c>
      <c r="Z252">
        <v>6</v>
      </c>
      <c r="AA252" t="s">
        <v>2789</v>
      </c>
      <c r="AB252">
        <v>0.15</v>
      </c>
      <c r="AC252" t="s">
        <v>2794</v>
      </c>
      <c r="AD252">
        <v>14338.904999999999</v>
      </c>
      <c r="AE252">
        <v>2441.2549999999992</v>
      </c>
      <c r="AF252">
        <v>0.17025393501107647</v>
      </c>
      <c r="AG252" t="s">
        <v>2821</v>
      </c>
      <c r="AH252">
        <v>2024</v>
      </c>
      <c r="AI252" t="s">
        <v>2835</v>
      </c>
    </row>
    <row r="253" spans="1:35">
      <c r="A253" t="s">
        <v>861</v>
      </c>
      <c r="B253">
        <v>45753</v>
      </c>
      <c r="C253">
        <v>45757</v>
      </c>
      <c r="D253" t="s">
        <v>862</v>
      </c>
      <c r="E253" t="s">
        <v>62</v>
      </c>
      <c r="F253" t="s">
        <v>90</v>
      </c>
      <c r="G253" t="s">
        <v>63</v>
      </c>
      <c r="H253" t="s">
        <v>180</v>
      </c>
      <c r="I253" t="s">
        <v>181</v>
      </c>
      <c r="J253" t="s">
        <v>41</v>
      </c>
      <c r="K253" t="s">
        <v>42</v>
      </c>
      <c r="L253" t="s">
        <v>863</v>
      </c>
      <c r="M253" t="s">
        <v>31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32</v>
      </c>
      <c r="U253" t="s">
        <v>33</v>
      </c>
      <c r="V253" t="s">
        <v>2834</v>
      </c>
      <c r="W253" t="s">
        <v>2834</v>
      </c>
      <c r="X253" t="s">
        <v>2834</v>
      </c>
      <c r="Y253" t="s">
        <v>2834</v>
      </c>
      <c r="Z253">
        <v>4</v>
      </c>
      <c r="AA253" t="s">
        <v>2789</v>
      </c>
      <c r="AB253">
        <v>0</v>
      </c>
      <c r="AC253" t="s">
        <v>2794</v>
      </c>
      <c r="AD253">
        <v>6132.96</v>
      </c>
      <c r="AE253">
        <v>1251.8599999999997</v>
      </c>
      <c r="AF253">
        <v>0.20412003339333692</v>
      </c>
      <c r="AG253" t="s">
        <v>2823</v>
      </c>
      <c r="AH253">
        <v>2025</v>
      </c>
      <c r="AI253" t="s">
        <v>2835</v>
      </c>
    </row>
    <row r="254" spans="1:35">
      <c r="A254" t="s">
        <v>864</v>
      </c>
      <c r="B254">
        <v>45833</v>
      </c>
      <c r="C254">
        <v>45836</v>
      </c>
      <c r="D254" t="s">
        <v>865</v>
      </c>
      <c r="E254" t="s">
        <v>53</v>
      </c>
      <c r="F254" t="s">
        <v>90</v>
      </c>
      <c r="G254" t="s">
        <v>25</v>
      </c>
      <c r="H254" t="s">
        <v>236</v>
      </c>
      <c r="I254" t="s">
        <v>237</v>
      </c>
      <c r="J254" t="s">
        <v>28</v>
      </c>
      <c r="K254" t="s">
        <v>124</v>
      </c>
      <c r="L254" t="s">
        <v>866</v>
      </c>
      <c r="M254" t="s">
        <v>50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111</v>
      </c>
      <c r="U254" t="s">
        <v>103</v>
      </c>
      <c r="V254" t="s">
        <v>2834</v>
      </c>
      <c r="W254" t="s">
        <v>2834</v>
      </c>
      <c r="X254" t="s">
        <v>2834</v>
      </c>
      <c r="Y254" t="s">
        <v>2834</v>
      </c>
      <c r="Z254">
        <v>3</v>
      </c>
      <c r="AA254" t="s">
        <v>2789</v>
      </c>
      <c r="AB254">
        <v>0.2</v>
      </c>
      <c r="AC254" t="s">
        <v>2794</v>
      </c>
      <c r="AD254">
        <v>2329.4720000000002</v>
      </c>
      <c r="AE254">
        <v>725.85200000000032</v>
      </c>
      <c r="AF254">
        <v>0.31159507390515973</v>
      </c>
      <c r="AG254" t="s">
        <v>2825</v>
      </c>
      <c r="AH254">
        <v>2025</v>
      </c>
      <c r="AI254" t="s">
        <v>2835</v>
      </c>
    </row>
    <row r="255" spans="1:35">
      <c r="A255" t="s">
        <v>867</v>
      </c>
      <c r="B255">
        <v>45547</v>
      </c>
      <c r="C255">
        <v>45548</v>
      </c>
      <c r="D255" t="s">
        <v>868</v>
      </c>
      <c r="E255" t="s">
        <v>114</v>
      </c>
      <c r="F255" t="s">
        <v>37</v>
      </c>
      <c r="G255" t="s">
        <v>25</v>
      </c>
      <c r="H255" t="s">
        <v>26</v>
      </c>
      <c r="I255" t="s">
        <v>27</v>
      </c>
      <c r="J255" t="s">
        <v>74</v>
      </c>
      <c r="K255" t="s">
        <v>171</v>
      </c>
      <c r="L255" t="s">
        <v>869</v>
      </c>
      <c r="M255" t="s">
        <v>44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102</v>
      </c>
      <c r="U255" t="s">
        <v>68</v>
      </c>
      <c r="V255" t="s">
        <v>2834</v>
      </c>
      <c r="W255" t="s">
        <v>2834</v>
      </c>
      <c r="X255" t="s">
        <v>2834</v>
      </c>
      <c r="Y255" t="s">
        <v>2834</v>
      </c>
      <c r="Z255">
        <v>1</v>
      </c>
      <c r="AA255" t="s">
        <v>2789</v>
      </c>
      <c r="AB255">
        <v>0.05</v>
      </c>
      <c r="AC255" t="s">
        <v>2794</v>
      </c>
      <c r="AD255">
        <v>4746.9029999999993</v>
      </c>
      <c r="AE255">
        <v>1921.5229999999992</v>
      </c>
      <c r="AF255">
        <v>0.40479508428969363</v>
      </c>
      <c r="AG255" t="s">
        <v>2828</v>
      </c>
      <c r="AH255">
        <v>2024</v>
      </c>
      <c r="AI255" t="s">
        <v>2835</v>
      </c>
    </row>
    <row r="256" spans="1:35">
      <c r="A256" t="s">
        <v>870</v>
      </c>
      <c r="B256">
        <v>45658</v>
      </c>
      <c r="C256">
        <v>45660</v>
      </c>
      <c r="D256" t="s">
        <v>871</v>
      </c>
      <c r="E256" t="s">
        <v>62</v>
      </c>
      <c r="F256" t="s">
        <v>24</v>
      </c>
      <c r="G256" t="s">
        <v>63</v>
      </c>
      <c r="H256" t="s">
        <v>72</v>
      </c>
      <c r="I256" t="s">
        <v>73</v>
      </c>
      <c r="J256" t="s">
        <v>74</v>
      </c>
      <c r="K256" t="s">
        <v>75</v>
      </c>
      <c r="L256" t="s">
        <v>872</v>
      </c>
      <c r="M256" t="s">
        <v>44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32</v>
      </c>
      <c r="U256" t="s">
        <v>103</v>
      </c>
      <c r="V256" t="s">
        <v>2834</v>
      </c>
      <c r="W256" t="s">
        <v>2834</v>
      </c>
      <c r="X256" t="s">
        <v>2834</v>
      </c>
      <c r="Y256" t="s">
        <v>2834</v>
      </c>
      <c r="Z256">
        <v>2</v>
      </c>
      <c r="AA256" t="s">
        <v>2789</v>
      </c>
      <c r="AB256">
        <v>0.2</v>
      </c>
      <c r="AC256" t="s">
        <v>2794</v>
      </c>
      <c r="AD256">
        <v>5603.08</v>
      </c>
      <c r="AE256">
        <v>2470.56</v>
      </c>
      <c r="AF256">
        <v>0.44092891766671188</v>
      </c>
      <c r="AG256" t="s">
        <v>2820</v>
      </c>
      <c r="AH256">
        <v>2025</v>
      </c>
      <c r="AI256" t="s">
        <v>2835</v>
      </c>
    </row>
    <row r="257" spans="1:35">
      <c r="A257" t="s">
        <v>873</v>
      </c>
      <c r="B257">
        <v>45692</v>
      </c>
      <c r="C257">
        <v>45698</v>
      </c>
      <c r="D257" t="s">
        <v>874</v>
      </c>
      <c r="E257" t="s">
        <v>47</v>
      </c>
      <c r="F257" t="s">
        <v>90</v>
      </c>
      <c r="G257" t="s">
        <v>63</v>
      </c>
      <c r="H257" t="s">
        <v>64</v>
      </c>
      <c r="I257" t="s">
        <v>65</v>
      </c>
      <c r="J257" t="s">
        <v>74</v>
      </c>
      <c r="K257" t="s">
        <v>171</v>
      </c>
      <c r="L257" t="s">
        <v>875</v>
      </c>
      <c r="M257" t="s">
        <v>50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32</v>
      </c>
      <c r="U257" t="s">
        <v>33</v>
      </c>
      <c r="V257" t="s">
        <v>2834</v>
      </c>
      <c r="W257" t="s">
        <v>2834</v>
      </c>
      <c r="X257" t="s">
        <v>2834</v>
      </c>
      <c r="Y257" t="s">
        <v>2834</v>
      </c>
      <c r="Z257">
        <v>6</v>
      </c>
      <c r="AA257" t="s">
        <v>2789</v>
      </c>
      <c r="AB257">
        <v>0</v>
      </c>
      <c r="AC257" t="s">
        <v>2794</v>
      </c>
      <c r="AD257">
        <v>12810</v>
      </c>
      <c r="AE257">
        <v>3475.8799999999992</v>
      </c>
      <c r="AF257">
        <v>0.27134113973458229</v>
      </c>
      <c r="AG257" t="s">
        <v>2821</v>
      </c>
      <c r="AH257">
        <v>2025</v>
      </c>
      <c r="AI257" t="s">
        <v>2835</v>
      </c>
    </row>
    <row r="258" spans="1:35">
      <c r="A258" t="s">
        <v>876</v>
      </c>
      <c r="B258">
        <v>45601</v>
      </c>
      <c r="C258">
        <v>45599</v>
      </c>
      <c r="D258" t="s">
        <v>877</v>
      </c>
      <c r="E258" t="s">
        <v>62</v>
      </c>
      <c r="F258" t="s">
        <v>24</v>
      </c>
      <c r="G258" t="s">
        <v>38</v>
      </c>
      <c r="H258" t="s">
        <v>99</v>
      </c>
      <c r="I258" t="s">
        <v>100</v>
      </c>
      <c r="J258" t="s">
        <v>41</v>
      </c>
      <c r="K258" t="s">
        <v>42</v>
      </c>
      <c r="L258" t="s">
        <v>878</v>
      </c>
      <c r="M258" t="s">
        <v>50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32</v>
      </c>
      <c r="U258" t="s">
        <v>33</v>
      </c>
      <c r="V258" t="s">
        <v>2834</v>
      </c>
      <c r="W258" t="s">
        <v>2834</v>
      </c>
      <c r="X258" t="s">
        <v>2834</v>
      </c>
      <c r="Y258" t="s">
        <v>2837</v>
      </c>
      <c r="Z258">
        <v>-2</v>
      </c>
      <c r="AA258" t="s">
        <v>2789</v>
      </c>
      <c r="AB258">
        <v>0.05</v>
      </c>
      <c r="AC258" t="s">
        <v>2794</v>
      </c>
      <c r="AD258">
        <v>19328.215500000002</v>
      </c>
      <c r="AE258">
        <v>7288.7155000000021</v>
      </c>
      <c r="AF258">
        <v>0.3771023507058891</v>
      </c>
      <c r="AG258" t="s">
        <v>2830</v>
      </c>
      <c r="AH258">
        <v>2024</v>
      </c>
      <c r="AI258" t="s">
        <v>2836</v>
      </c>
    </row>
    <row r="259" spans="1:35">
      <c r="A259" t="s">
        <v>879</v>
      </c>
      <c r="B259">
        <v>45878</v>
      </c>
      <c r="C259">
        <v>45881</v>
      </c>
      <c r="D259" t="s">
        <v>880</v>
      </c>
      <c r="E259" t="s">
        <v>162</v>
      </c>
      <c r="F259" t="s">
        <v>90</v>
      </c>
      <c r="G259" t="s">
        <v>54</v>
      </c>
      <c r="H259" t="s">
        <v>175</v>
      </c>
      <c r="I259" t="s">
        <v>176</v>
      </c>
      <c r="J259" t="s">
        <v>74</v>
      </c>
      <c r="K259" t="s">
        <v>75</v>
      </c>
      <c r="L259" t="s">
        <v>881</v>
      </c>
      <c r="M259" t="s">
        <v>31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32</v>
      </c>
      <c r="U259" t="s">
        <v>68</v>
      </c>
      <c r="V259" t="s">
        <v>2834</v>
      </c>
      <c r="W259" t="s">
        <v>2834</v>
      </c>
      <c r="X259" t="s">
        <v>2834</v>
      </c>
      <c r="Y259" t="s">
        <v>2834</v>
      </c>
      <c r="Z259">
        <v>3</v>
      </c>
      <c r="AA259" t="s">
        <v>2789</v>
      </c>
      <c r="AB259">
        <v>0</v>
      </c>
      <c r="AC259" t="s">
        <v>2794</v>
      </c>
      <c r="AD259">
        <v>6474.54</v>
      </c>
      <c r="AE259">
        <v>1378.63</v>
      </c>
      <c r="AF259">
        <v>0.21293095725719513</v>
      </c>
      <c r="AG259" t="s">
        <v>2827</v>
      </c>
      <c r="AH259">
        <v>2025</v>
      </c>
      <c r="AI259" t="s">
        <v>2835</v>
      </c>
    </row>
    <row r="260" spans="1:35">
      <c r="A260" t="s">
        <v>882</v>
      </c>
      <c r="B260">
        <v>45656</v>
      </c>
      <c r="C260">
        <v>45661</v>
      </c>
      <c r="D260" t="s">
        <v>883</v>
      </c>
      <c r="E260" t="s">
        <v>132</v>
      </c>
      <c r="F260" t="s">
        <v>90</v>
      </c>
      <c r="G260" t="s">
        <v>54</v>
      </c>
      <c r="H260" t="s">
        <v>247</v>
      </c>
      <c r="I260" t="s">
        <v>248</v>
      </c>
      <c r="J260" t="s">
        <v>41</v>
      </c>
      <c r="K260" t="s">
        <v>42</v>
      </c>
      <c r="L260" t="s">
        <v>884</v>
      </c>
      <c r="M260" t="s">
        <v>44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32</v>
      </c>
      <c r="U260" t="s">
        <v>33</v>
      </c>
      <c r="V260" t="s">
        <v>2834</v>
      </c>
      <c r="W260" t="s">
        <v>2834</v>
      </c>
      <c r="X260" t="s">
        <v>2834</v>
      </c>
      <c r="Y260" t="s">
        <v>2834</v>
      </c>
      <c r="Z260">
        <v>5</v>
      </c>
      <c r="AA260" t="s">
        <v>2789</v>
      </c>
      <c r="AB260">
        <v>0.25</v>
      </c>
      <c r="AC260" t="s">
        <v>2794</v>
      </c>
      <c r="AD260">
        <v>5580.1050000000005</v>
      </c>
      <c r="AE260">
        <v>1273.0950000000003</v>
      </c>
      <c r="AF260">
        <v>0.22814893268137429</v>
      </c>
      <c r="AG260" t="s">
        <v>2831</v>
      </c>
      <c r="AH260">
        <v>2024</v>
      </c>
      <c r="AI260" t="s">
        <v>2835</v>
      </c>
    </row>
    <row r="261" spans="1:35">
      <c r="A261" t="s">
        <v>885</v>
      </c>
      <c r="B261">
        <v>45464</v>
      </c>
      <c r="C261">
        <v>45472</v>
      </c>
      <c r="D261" t="s">
        <v>886</v>
      </c>
      <c r="E261" t="s">
        <v>79</v>
      </c>
      <c r="F261" t="s">
        <v>24</v>
      </c>
      <c r="G261" t="s">
        <v>54</v>
      </c>
      <c r="H261" t="s">
        <v>247</v>
      </c>
      <c r="I261" t="s">
        <v>248</v>
      </c>
      <c r="J261" t="s">
        <v>74</v>
      </c>
      <c r="K261" t="s">
        <v>274</v>
      </c>
      <c r="L261" t="s">
        <v>887</v>
      </c>
      <c r="M261" t="s">
        <v>59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32</v>
      </c>
      <c r="U261" t="s">
        <v>33</v>
      </c>
      <c r="V261" t="s">
        <v>2834</v>
      </c>
      <c r="W261" t="s">
        <v>2834</v>
      </c>
      <c r="X261" t="s">
        <v>2834</v>
      </c>
      <c r="Y261" t="s">
        <v>2834</v>
      </c>
      <c r="Z261">
        <v>8</v>
      </c>
      <c r="AA261" t="s">
        <v>2789</v>
      </c>
      <c r="AB261">
        <v>0.2</v>
      </c>
      <c r="AC261" t="s">
        <v>2794</v>
      </c>
      <c r="AD261">
        <v>18265.088</v>
      </c>
      <c r="AE261">
        <v>7827.9480000000003</v>
      </c>
      <c r="AF261">
        <v>0.42857433810338064</v>
      </c>
      <c r="AG261" t="s">
        <v>2825</v>
      </c>
      <c r="AH261">
        <v>2024</v>
      </c>
      <c r="AI261" t="s">
        <v>2835</v>
      </c>
    </row>
    <row r="262" spans="1:35">
      <c r="A262" t="s">
        <v>888</v>
      </c>
      <c r="B262">
        <v>45923</v>
      </c>
      <c r="C262">
        <v>45927</v>
      </c>
      <c r="D262" t="s">
        <v>889</v>
      </c>
      <c r="E262" t="s">
        <v>89</v>
      </c>
      <c r="F262" t="s">
        <v>90</v>
      </c>
      <c r="G262" t="s">
        <v>38</v>
      </c>
      <c r="H262" t="s">
        <v>99</v>
      </c>
      <c r="I262" t="s">
        <v>100</v>
      </c>
      <c r="J262" t="s">
        <v>28</v>
      </c>
      <c r="K262" t="s">
        <v>153</v>
      </c>
      <c r="L262" t="s">
        <v>890</v>
      </c>
      <c r="M262" t="s">
        <v>44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155</v>
      </c>
      <c r="U262" t="s">
        <v>103</v>
      </c>
      <c r="V262" t="s">
        <v>2834</v>
      </c>
      <c r="W262" t="s">
        <v>2834</v>
      </c>
      <c r="X262" t="s">
        <v>2834</v>
      </c>
      <c r="Y262" t="s">
        <v>2834</v>
      </c>
      <c r="Z262">
        <v>4</v>
      </c>
      <c r="AA262" t="s">
        <v>2789</v>
      </c>
      <c r="AB262">
        <v>0.25</v>
      </c>
      <c r="AC262" t="s">
        <v>2794</v>
      </c>
      <c r="AD262">
        <v>15209.880000000001</v>
      </c>
      <c r="AE262">
        <v>4318.7300000000014</v>
      </c>
      <c r="AF262">
        <v>0.28394241111698454</v>
      </c>
      <c r="AG262" t="s">
        <v>2828</v>
      </c>
      <c r="AH262">
        <v>2025</v>
      </c>
      <c r="AI262" t="s">
        <v>2835</v>
      </c>
    </row>
    <row r="263" spans="1:35">
      <c r="A263" t="s">
        <v>891</v>
      </c>
      <c r="B263">
        <v>45826</v>
      </c>
      <c r="C263">
        <v>45832</v>
      </c>
      <c r="D263" t="s">
        <v>892</v>
      </c>
      <c r="E263" t="s">
        <v>132</v>
      </c>
      <c r="F263" t="s">
        <v>90</v>
      </c>
      <c r="G263" t="s">
        <v>25</v>
      </c>
      <c r="H263" t="s">
        <v>26</v>
      </c>
      <c r="I263" t="s">
        <v>27</v>
      </c>
      <c r="J263" t="s">
        <v>28</v>
      </c>
      <c r="K263" t="s">
        <v>91</v>
      </c>
      <c r="L263" t="s">
        <v>893</v>
      </c>
      <c r="M263" t="s">
        <v>59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155</v>
      </c>
      <c r="U263" t="s">
        <v>68</v>
      </c>
      <c r="V263" t="s">
        <v>2834</v>
      </c>
      <c r="W263" t="s">
        <v>2834</v>
      </c>
      <c r="X263" t="s">
        <v>2834</v>
      </c>
      <c r="Y263" t="s">
        <v>2834</v>
      </c>
      <c r="Z263">
        <v>6</v>
      </c>
      <c r="AA263" t="s">
        <v>2789</v>
      </c>
      <c r="AB263">
        <v>0.2</v>
      </c>
      <c r="AC263" t="s">
        <v>2794</v>
      </c>
      <c r="AD263">
        <v>1648.1760000000004</v>
      </c>
      <c r="AE263">
        <v>660.26600000000042</v>
      </c>
      <c r="AF263">
        <v>0.40060406170214846</v>
      </c>
      <c r="AG263" t="s">
        <v>2825</v>
      </c>
      <c r="AH263">
        <v>2025</v>
      </c>
      <c r="AI263" t="s">
        <v>2835</v>
      </c>
    </row>
    <row r="264" spans="1:35">
      <c r="A264" t="s">
        <v>894</v>
      </c>
      <c r="B264">
        <v>45803</v>
      </c>
      <c r="C264">
        <v>45809</v>
      </c>
      <c r="D264" t="s">
        <v>629</v>
      </c>
      <c r="E264" t="s">
        <v>53</v>
      </c>
      <c r="F264" t="s">
        <v>37</v>
      </c>
      <c r="G264" t="s">
        <v>25</v>
      </c>
      <c r="H264" t="s">
        <v>350</v>
      </c>
      <c r="I264" t="s">
        <v>351</v>
      </c>
      <c r="J264" t="s">
        <v>74</v>
      </c>
      <c r="K264" t="s">
        <v>171</v>
      </c>
      <c r="L264" t="s">
        <v>895</v>
      </c>
      <c r="M264" t="s">
        <v>44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111</v>
      </c>
      <c r="U264" t="s">
        <v>103</v>
      </c>
      <c r="V264" t="s">
        <v>2834</v>
      </c>
      <c r="W264" t="s">
        <v>2834</v>
      </c>
      <c r="X264" t="s">
        <v>2834</v>
      </c>
      <c r="Y264" t="s">
        <v>2834</v>
      </c>
      <c r="Z264">
        <v>6</v>
      </c>
      <c r="AA264" t="s">
        <v>2789</v>
      </c>
      <c r="AB264">
        <v>0</v>
      </c>
      <c r="AC264" t="s">
        <v>2794</v>
      </c>
      <c r="AD264">
        <v>13399.44</v>
      </c>
      <c r="AE264">
        <v>4818.09</v>
      </c>
      <c r="AF264">
        <v>0.3595739821962709</v>
      </c>
      <c r="AG264" t="s">
        <v>2824</v>
      </c>
      <c r="AH264">
        <v>2025</v>
      </c>
      <c r="AI264" t="s">
        <v>2835</v>
      </c>
    </row>
    <row r="265" spans="1:35">
      <c r="A265" t="s">
        <v>896</v>
      </c>
      <c r="B265">
        <v>45875</v>
      </c>
      <c r="C265">
        <v>45879</v>
      </c>
      <c r="D265" t="s">
        <v>897</v>
      </c>
      <c r="E265" t="s">
        <v>141</v>
      </c>
      <c r="F265" t="s">
        <v>37</v>
      </c>
      <c r="G265" t="s">
        <v>25</v>
      </c>
      <c r="H265" t="s">
        <v>350</v>
      </c>
      <c r="I265" t="s">
        <v>351</v>
      </c>
      <c r="J265" t="s">
        <v>28</v>
      </c>
      <c r="K265" t="s">
        <v>153</v>
      </c>
      <c r="L265" t="s">
        <v>898</v>
      </c>
      <c r="M265" t="s">
        <v>31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111</v>
      </c>
      <c r="U265" t="s">
        <v>103</v>
      </c>
      <c r="V265" t="s">
        <v>2834</v>
      </c>
      <c r="W265" t="s">
        <v>2834</v>
      </c>
      <c r="X265" t="s">
        <v>2834</v>
      </c>
      <c r="Y265" t="s">
        <v>2834</v>
      </c>
      <c r="Z265">
        <v>4</v>
      </c>
      <c r="AA265" t="s">
        <v>2789</v>
      </c>
      <c r="AB265">
        <v>0.1</v>
      </c>
      <c r="AC265" t="s">
        <v>2794</v>
      </c>
      <c r="AD265">
        <v>32743.844999999998</v>
      </c>
      <c r="AE265">
        <v>10291.794999999998</v>
      </c>
      <c r="AF265">
        <v>0.314312353970647</v>
      </c>
      <c r="AG265" t="s">
        <v>2827</v>
      </c>
      <c r="AH265">
        <v>2025</v>
      </c>
      <c r="AI265" t="s">
        <v>2835</v>
      </c>
    </row>
    <row r="266" spans="1:35">
      <c r="A266" t="s">
        <v>899</v>
      </c>
      <c r="B266">
        <v>45428</v>
      </c>
      <c r="C266">
        <v>45433</v>
      </c>
      <c r="D266" t="s">
        <v>900</v>
      </c>
      <c r="E266" t="s">
        <v>162</v>
      </c>
      <c r="F266" t="s">
        <v>37</v>
      </c>
      <c r="G266" t="s">
        <v>38</v>
      </c>
      <c r="H266" t="s">
        <v>145</v>
      </c>
      <c r="I266" t="s">
        <v>146</v>
      </c>
      <c r="J266" t="s">
        <v>74</v>
      </c>
      <c r="K266" t="s">
        <v>80</v>
      </c>
      <c r="L266" t="s">
        <v>901</v>
      </c>
      <c r="M266" t="s">
        <v>59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32</v>
      </c>
      <c r="U266" t="s">
        <v>33</v>
      </c>
      <c r="V266" t="s">
        <v>2834</v>
      </c>
      <c r="W266" t="s">
        <v>2834</v>
      </c>
      <c r="X266" t="s">
        <v>2834</v>
      </c>
      <c r="Y266" t="s">
        <v>2834</v>
      </c>
      <c r="Z266">
        <v>5</v>
      </c>
      <c r="AA266" t="s">
        <v>2789</v>
      </c>
      <c r="AB266">
        <v>0</v>
      </c>
      <c r="AC266" t="s">
        <v>2794</v>
      </c>
      <c r="AD266">
        <v>6012.28</v>
      </c>
      <c r="AE266">
        <v>2084.64</v>
      </c>
      <c r="AF266">
        <v>0.34673035853286938</v>
      </c>
      <c r="AG266" t="s">
        <v>2824</v>
      </c>
      <c r="AH266">
        <v>2024</v>
      </c>
      <c r="AI266" t="s">
        <v>2835</v>
      </c>
    </row>
    <row r="267" spans="1:35">
      <c r="A267" t="s">
        <v>902</v>
      </c>
      <c r="B267">
        <v>45610</v>
      </c>
      <c r="C267">
        <v>45618</v>
      </c>
      <c r="D267" t="s">
        <v>903</v>
      </c>
      <c r="E267" t="s">
        <v>114</v>
      </c>
      <c r="F267" t="s">
        <v>90</v>
      </c>
      <c r="G267" t="s">
        <v>38</v>
      </c>
      <c r="H267" t="s">
        <v>145</v>
      </c>
      <c r="I267" t="s">
        <v>146</v>
      </c>
      <c r="J267" t="s">
        <v>41</v>
      </c>
      <c r="K267" t="s">
        <v>158</v>
      </c>
      <c r="L267" t="s">
        <v>904</v>
      </c>
      <c r="M267" t="s">
        <v>44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102</v>
      </c>
      <c r="U267" t="s">
        <v>68</v>
      </c>
      <c r="V267" t="s">
        <v>2834</v>
      </c>
      <c r="W267" t="s">
        <v>2834</v>
      </c>
      <c r="X267" t="s">
        <v>2834</v>
      </c>
      <c r="Y267" t="s">
        <v>2834</v>
      </c>
      <c r="Z267">
        <v>8</v>
      </c>
      <c r="AA267" t="s">
        <v>2789</v>
      </c>
      <c r="AB267">
        <v>0.15</v>
      </c>
      <c r="AC267" t="s">
        <v>2794</v>
      </c>
      <c r="AD267">
        <v>495.0145</v>
      </c>
      <c r="AE267">
        <v>209.8845</v>
      </c>
      <c r="AF267">
        <v>0.42399667080459258</v>
      </c>
      <c r="AG267" t="s">
        <v>2830</v>
      </c>
      <c r="AH267">
        <v>2024</v>
      </c>
      <c r="AI267" t="s">
        <v>2835</v>
      </c>
    </row>
    <row r="268" spans="1:35">
      <c r="A268" t="s">
        <v>905</v>
      </c>
      <c r="B268">
        <v>45780</v>
      </c>
      <c r="C268">
        <v>45787</v>
      </c>
      <c r="D268" t="s">
        <v>906</v>
      </c>
      <c r="E268" t="s">
        <v>79</v>
      </c>
      <c r="F268" t="s">
        <v>95</v>
      </c>
      <c r="G268" t="s">
        <v>63</v>
      </c>
      <c r="H268" t="s">
        <v>64</v>
      </c>
      <c r="I268" t="s">
        <v>65</v>
      </c>
      <c r="J268" t="s">
        <v>28</v>
      </c>
      <c r="K268" t="s">
        <v>124</v>
      </c>
      <c r="L268" t="s">
        <v>907</v>
      </c>
      <c r="M268" t="s">
        <v>31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32</v>
      </c>
      <c r="U268" t="s">
        <v>33</v>
      </c>
      <c r="V268" t="s">
        <v>2834</v>
      </c>
      <c r="W268" t="s">
        <v>2834</v>
      </c>
      <c r="X268" t="s">
        <v>2834</v>
      </c>
      <c r="Y268" t="s">
        <v>2834</v>
      </c>
      <c r="Z268">
        <v>7</v>
      </c>
      <c r="AA268" t="s">
        <v>2789</v>
      </c>
      <c r="AB268">
        <v>0</v>
      </c>
      <c r="AC268" t="s">
        <v>2794</v>
      </c>
      <c r="AD268">
        <v>13017.72</v>
      </c>
      <c r="AE268">
        <v>2847.1499999999996</v>
      </c>
      <c r="AF268">
        <v>0.21871341525244051</v>
      </c>
      <c r="AG268" t="s">
        <v>2824</v>
      </c>
      <c r="AH268">
        <v>2025</v>
      </c>
      <c r="AI268" t="s">
        <v>2835</v>
      </c>
    </row>
    <row r="269" spans="1:35">
      <c r="A269" t="s">
        <v>908</v>
      </c>
      <c r="B269">
        <v>45805</v>
      </c>
      <c r="C269">
        <v>45812</v>
      </c>
      <c r="D269" t="s">
        <v>909</v>
      </c>
      <c r="E269" t="s">
        <v>162</v>
      </c>
      <c r="F269" t="s">
        <v>90</v>
      </c>
      <c r="G269" t="s">
        <v>38</v>
      </c>
      <c r="H269" t="s">
        <v>228</v>
      </c>
      <c r="I269" t="s">
        <v>229</v>
      </c>
      <c r="J269" t="s">
        <v>41</v>
      </c>
      <c r="K269" t="s">
        <v>57</v>
      </c>
      <c r="L269" t="s">
        <v>910</v>
      </c>
      <c r="M269" t="s">
        <v>50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32</v>
      </c>
      <c r="U269" t="s">
        <v>33</v>
      </c>
      <c r="V269" t="s">
        <v>2834</v>
      </c>
      <c r="W269" t="s">
        <v>2834</v>
      </c>
      <c r="X269" t="s">
        <v>2834</v>
      </c>
      <c r="Y269" t="s">
        <v>2834</v>
      </c>
      <c r="Z269">
        <v>7</v>
      </c>
      <c r="AA269" t="s">
        <v>2789</v>
      </c>
      <c r="AB269">
        <v>0.25</v>
      </c>
      <c r="AC269" t="s">
        <v>2794</v>
      </c>
      <c r="AD269">
        <v>785.40000000000009</v>
      </c>
      <c r="AE269">
        <v>228.18000000000006</v>
      </c>
      <c r="AF269">
        <v>0.29052711993888469</v>
      </c>
      <c r="AG269" t="s">
        <v>2824</v>
      </c>
      <c r="AH269">
        <v>2025</v>
      </c>
      <c r="AI269" t="s">
        <v>2835</v>
      </c>
    </row>
    <row r="270" spans="1:35">
      <c r="A270" t="s">
        <v>911</v>
      </c>
      <c r="B270">
        <v>45886</v>
      </c>
      <c r="C270">
        <v>45886</v>
      </c>
      <c r="D270" t="s">
        <v>912</v>
      </c>
      <c r="E270" t="s">
        <v>128</v>
      </c>
      <c r="F270" t="s">
        <v>95</v>
      </c>
      <c r="G270" t="s">
        <v>25</v>
      </c>
      <c r="H270" t="s">
        <v>122</v>
      </c>
      <c r="I270" t="s">
        <v>123</v>
      </c>
      <c r="J270" t="s">
        <v>74</v>
      </c>
      <c r="K270" t="s">
        <v>75</v>
      </c>
      <c r="L270" t="s">
        <v>913</v>
      </c>
      <c r="M270" t="s">
        <v>50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32</v>
      </c>
      <c r="U270" t="s">
        <v>33</v>
      </c>
      <c r="V270" t="s">
        <v>2834</v>
      </c>
      <c r="W270" t="s">
        <v>2834</v>
      </c>
      <c r="X270" t="s">
        <v>2834</v>
      </c>
      <c r="Y270" t="s">
        <v>2834</v>
      </c>
      <c r="Z270">
        <v>0</v>
      </c>
      <c r="AA270" t="s">
        <v>2789</v>
      </c>
      <c r="AB270">
        <v>0.25</v>
      </c>
      <c r="AC270" t="s">
        <v>2794</v>
      </c>
      <c r="AD270">
        <v>3319.05</v>
      </c>
      <c r="AE270">
        <v>1194.4500000000003</v>
      </c>
      <c r="AF270">
        <v>0.35987707325891449</v>
      </c>
      <c r="AG270" t="s">
        <v>2827</v>
      </c>
      <c r="AH270">
        <v>2025</v>
      </c>
      <c r="AI270" t="s">
        <v>2835</v>
      </c>
    </row>
    <row r="271" spans="1:35">
      <c r="A271" t="s">
        <v>914</v>
      </c>
      <c r="B271">
        <v>45698</v>
      </c>
      <c r="C271">
        <v>45700</v>
      </c>
      <c r="D271" t="s">
        <v>915</v>
      </c>
      <c r="E271" t="s">
        <v>118</v>
      </c>
      <c r="F271" t="s">
        <v>37</v>
      </c>
      <c r="G271" t="s">
        <v>63</v>
      </c>
      <c r="H271" t="s">
        <v>26</v>
      </c>
      <c r="I271" t="s">
        <v>109</v>
      </c>
      <c r="J271" t="s">
        <v>41</v>
      </c>
      <c r="K271" t="s">
        <v>42</v>
      </c>
      <c r="L271" t="s">
        <v>916</v>
      </c>
      <c r="M271" t="s">
        <v>44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32</v>
      </c>
      <c r="U271" t="s">
        <v>33</v>
      </c>
      <c r="V271" t="s">
        <v>2834</v>
      </c>
      <c r="W271" t="s">
        <v>2834</v>
      </c>
      <c r="X271" t="s">
        <v>2834</v>
      </c>
      <c r="Y271" t="s">
        <v>2834</v>
      </c>
      <c r="Z271">
        <v>2</v>
      </c>
      <c r="AA271" t="s">
        <v>2789</v>
      </c>
      <c r="AB271">
        <v>0</v>
      </c>
      <c r="AC271" t="s">
        <v>2794</v>
      </c>
      <c r="AD271">
        <v>1925.86</v>
      </c>
      <c r="AE271">
        <v>603.9699999999998</v>
      </c>
      <c r="AF271">
        <v>0.31361054282242729</v>
      </c>
      <c r="AG271" t="s">
        <v>2821</v>
      </c>
      <c r="AH271">
        <v>2025</v>
      </c>
      <c r="AI271" t="s">
        <v>2835</v>
      </c>
    </row>
    <row r="272" spans="1:35">
      <c r="A272" t="s">
        <v>917</v>
      </c>
      <c r="B272">
        <v>45303</v>
      </c>
      <c r="C272">
        <v>45304</v>
      </c>
      <c r="D272" t="s">
        <v>918</v>
      </c>
      <c r="E272" t="s">
        <v>89</v>
      </c>
      <c r="F272" t="s">
        <v>90</v>
      </c>
      <c r="G272" t="s">
        <v>25</v>
      </c>
      <c r="H272" t="s">
        <v>136</v>
      </c>
      <c r="I272" t="s">
        <v>137</v>
      </c>
      <c r="J272" t="s">
        <v>74</v>
      </c>
      <c r="K272" t="s">
        <v>274</v>
      </c>
      <c r="L272" t="s">
        <v>919</v>
      </c>
      <c r="M272" t="s">
        <v>44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32</v>
      </c>
      <c r="U272" t="s">
        <v>33</v>
      </c>
      <c r="V272" t="s">
        <v>2834</v>
      </c>
      <c r="W272" t="s">
        <v>2834</v>
      </c>
      <c r="X272" t="s">
        <v>2834</v>
      </c>
      <c r="Y272" t="s">
        <v>2834</v>
      </c>
      <c r="Z272">
        <v>1</v>
      </c>
      <c r="AA272" t="s">
        <v>2789</v>
      </c>
      <c r="AB272">
        <v>0</v>
      </c>
      <c r="AC272" t="s">
        <v>2794</v>
      </c>
      <c r="AD272">
        <v>2482.3200000000002</v>
      </c>
      <c r="AE272">
        <v>962.11000000000013</v>
      </c>
      <c r="AF272">
        <v>0.38758500112797706</v>
      </c>
      <c r="AG272" t="s">
        <v>2820</v>
      </c>
      <c r="AH272">
        <v>2024</v>
      </c>
      <c r="AI272" t="s">
        <v>2835</v>
      </c>
    </row>
    <row r="273" spans="1:35">
      <c r="A273" t="s">
        <v>920</v>
      </c>
      <c r="B273">
        <v>45647</v>
      </c>
      <c r="C273">
        <v>45651</v>
      </c>
      <c r="D273" t="s">
        <v>921</v>
      </c>
      <c r="E273" t="s">
        <v>89</v>
      </c>
      <c r="F273" t="s">
        <v>24</v>
      </c>
      <c r="G273" t="s">
        <v>54</v>
      </c>
      <c r="H273" t="s">
        <v>55</v>
      </c>
      <c r="I273" t="s">
        <v>56</v>
      </c>
      <c r="J273" t="s">
        <v>28</v>
      </c>
      <c r="K273" t="s">
        <v>153</v>
      </c>
      <c r="L273" t="s">
        <v>922</v>
      </c>
      <c r="M273" t="s">
        <v>59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155</v>
      </c>
      <c r="U273" t="s">
        <v>68</v>
      </c>
      <c r="V273" t="s">
        <v>2834</v>
      </c>
      <c r="W273" t="s">
        <v>2834</v>
      </c>
      <c r="X273" t="s">
        <v>2834</v>
      </c>
      <c r="Y273" t="s">
        <v>2834</v>
      </c>
      <c r="Z273">
        <v>4</v>
      </c>
      <c r="AA273" t="s">
        <v>2789</v>
      </c>
      <c r="AB273">
        <v>0</v>
      </c>
      <c r="AC273" t="s">
        <v>2794</v>
      </c>
      <c r="AD273">
        <v>11674.25</v>
      </c>
      <c r="AE273">
        <v>2053.0599999999995</v>
      </c>
      <c r="AF273">
        <v>0.17586226095894808</v>
      </c>
      <c r="AG273" t="s">
        <v>2831</v>
      </c>
      <c r="AH273">
        <v>2024</v>
      </c>
      <c r="AI273" t="s">
        <v>2835</v>
      </c>
    </row>
    <row r="274" spans="1:35">
      <c r="A274" t="s">
        <v>923</v>
      </c>
      <c r="B274">
        <v>45522</v>
      </c>
      <c r="C274">
        <v>45528</v>
      </c>
      <c r="D274" t="s">
        <v>924</v>
      </c>
      <c r="E274" t="s">
        <v>53</v>
      </c>
      <c r="F274" t="s">
        <v>24</v>
      </c>
      <c r="G274" t="s">
        <v>54</v>
      </c>
      <c r="H274" t="s">
        <v>84</v>
      </c>
      <c r="I274" t="s">
        <v>85</v>
      </c>
      <c r="J274" t="s">
        <v>41</v>
      </c>
      <c r="K274" t="s">
        <v>66</v>
      </c>
      <c r="L274" t="s">
        <v>925</v>
      </c>
      <c r="M274" t="s">
        <v>50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32</v>
      </c>
      <c r="U274" t="s">
        <v>33</v>
      </c>
      <c r="V274" t="s">
        <v>2834</v>
      </c>
      <c r="W274" t="s">
        <v>2834</v>
      </c>
      <c r="X274" t="s">
        <v>2834</v>
      </c>
      <c r="Y274" t="s">
        <v>2834</v>
      </c>
      <c r="Z274">
        <v>6</v>
      </c>
      <c r="AA274" t="s">
        <v>2790</v>
      </c>
      <c r="AB274">
        <v>0.1</v>
      </c>
      <c r="AC274" t="s">
        <v>2794</v>
      </c>
      <c r="AD274">
        <v>3510.4230000000002</v>
      </c>
      <c r="AE274">
        <v>1318.9230000000002</v>
      </c>
      <c r="AF274">
        <v>0.37571625983535323</v>
      </c>
      <c r="AG274" t="s">
        <v>2827</v>
      </c>
      <c r="AH274">
        <v>2024</v>
      </c>
      <c r="AI274" t="s">
        <v>2836</v>
      </c>
    </row>
    <row r="275" spans="1:35">
      <c r="A275" t="s">
        <v>926</v>
      </c>
      <c r="B275">
        <v>45701</v>
      </c>
      <c r="C275">
        <v>45701</v>
      </c>
      <c r="D275" t="s">
        <v>927</v>
      </c>
      <c r="E275" t="s">
        <v>47</v>
      </c>
      <c r="F275" t="s">
        <v>24</v>
      </c>
      <c r="G275" t="s">
        <v>38</v>
      </c>
      <c r="H275" t="s">
        <v>145</v>
      </c>
      <c r="I275" t="s">
        <v>146</v>
      </c>
      <c r="J275" t="s">
        <v>28</v>
      </c>
      <c r="K275" t="s">
        <v>29</v>
      </c>
      <c r="L275" t="s">
        <v>928</v>
      </c>
      <c r="M275" t="s">
        <v>31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32</v>
      </c>
      <c r="U275" t="s">
        <v>103</v>
      </c>
      <c r="V275" t="s">
        <v>2834</v>
      </c>
      <c r="W275" t="s">
        <v>2834</v>
      </c>
      <c r="X275" t="s">
        <v>2834</v>
      </c>
      <c r="Y275" t="s">
        <v>2834</v>
      </c>
      <c r="Z275">
        <v>0</v>
      </c>
      <c r="AA275" t="s">
        <v>2789</v>
      </c>
      <c r="AB275">
        <v>0</v>
      </c>
      <c r="AC275" t="s">
        <v>2794</v>
      </c>
      <c r="AD275">
        <v>22694.670000000002</v>
      </c>
      <c r="AE275">
        <v>7289.3100000000013</v>
      </c>
      <c r="AF275">
        <v>0.32119039404406413</v>
      </c>
      <c r="AG275" t="s">
        <v>2821</v>
      </c>
      <c r="AH275">
        <v>2025</v>
      </c>
      <c r="AI275" t="s">
        <v>2835</v>
      </c>
    </row>
    <row r="276" spans="1:35">
      <c r="A276" t="s">
        <v>929</v>
      </c>
      <c r="B276">
        <v>45389</v>
      </c>
      <c r="C276">
        <v>45396</v>
      </c>
      <c r="D276" t="s">
        <v>930</v>
      </c>
      <c r="E276" t="s">
        <v>141</v>
      </c>
      <c r="F276" t="s">
        <v>24</v>
      </c>
      <c r="G276" t="s">
        <v>54</v>
      </c>
      <c r="H276" t="s">
        <v>185</v>
      </c>
      <c r="I276" t="s">
        <v>186</v>
      </c>
      <c r="J276" t="s">
        <v>74</v>
      </c>
      <c r="K276" t="s">
        <v>80</v>
      </c>
      <c r="L276" t="s">
        <v>931</v>
      </c>
      <c r="M276" t="s">
        <v>59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155</v>
      </c>
      <c r="U276" t="s">
        <v>103</v>
      </c>
      <c r="V276" t="s">
        <v>2834</v>
      </c>
      <c r="W276" t="s">
        <v>2834</v>
      </c>
      <c r="X276" t="s">
        <v>2834</v>
      </c>
      <c r="Y276" t="s">
        <v>2834</v>
      </c>
      <c r="Z276">
        <v>7</v>
      </c>
      <c r="AA276" t="s">
        <v>2789</v>
      </c>
      <c r="AB276">
        <v>0.15</v>
      </c>
      <c r="AC276" t="s">
        <v>2794</v>
      </c>
      <c r="AD276">
        <v>21658.221000000001</v>
      </c>
      <c r="AE276">
        <v>6167.5310000000009</v>
      </c>
      <c r="AF276">
        <v>0.28476627881856043</v>
      </c>
      <c r="AG276" t="s">
        <v>2823</v>
      </c>
      <c r="AH276">
        <v>2024</v>
      </c>
      <c r="AI276" t="s">
        <v>2835</v>
      </c>
    </row>
    <row r="277" spans="1:35">
      <c r="A277" t="s">
        <v>932</v>
      </c>
      <c r="B277">
        <v>45337</v>
      </c>
      <c r="C277">
        <v>45344</v>
      </c>
      <c r="D277" t="s">
        <v>933</v>
      </c>
      <c r="E277" t="s">
        <v>114</v>
      </c>
      <c r="F277" t="s">
        <v>37</v>
      </c>
      <c r="G277" t="s">
        <v>38</v>
      </c>
      <c r="H277" t="s">
        <v>99</v>
      </c>
      <c r="I277" t="s">
        <v>100</v>
      </c>
      <c r="J277" t="s">
        <v>41</v>
      </c>
      <c r="K277" t="s">
        <v>57</v>
      </c>
      <c r="L277" t="s">
        <v>934</v>
      </c>
      <c r="M277" t="s">
        <v>44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32</v>
      </c>
      <c r="U277" t="s">
        <v>33</v>
      </c>
      <c r="V277" t="s">
        <v>2834</v>
      </c>
      <c r="W277" t="s">
        <v>2834</v>
      </c>
      <c r="X277" t="s">
        <v>2834</v>
      </c>
      <c r="Y277" t="s">
        <v>2834</v>
      </c>
      <c r="Z277">
        <v>7</v>
      </c>
      <c r="AA277" t="s">
        <v>2789</v>
      </c>
      <c r="AB277">
        <v>0</v>
      </c>
      <c r="AC277" t="s">
        <v>2794</v>
      </c>
      <c r="AD277">
        <v>980.51</v>
      </c>
      <c r="AE277">
        <v>319.59000000000003</v>
      </c>
      <c r="AF277">
        <v>0.32594262169687205</v>
      </c>
      <c r="AG277" t="s">
        <v>2821</v>
      </c>
      <c r="AH277">
        <v>2024</v>
      </c>
      <c r="AI277" t="s">
        <v>2835</v>
      </c>
    </row>
    <row r="278" spans="1:35">
      <c r="A278" t="s">
        <v>935</v>
      </c>
      <c r="B278">
        <v>45313</v>
      </c>
      <c r="C278">
        <v>45314</v>
      </c>
      <c r="D278" t="s">
        <v>936</v>
      </c>
      <c r="E278" t="s">
        <v>128</v>
      </c>
      <c r="F278" t="s">
        <v>37</v>
      </c>
      <c r="G278" t="s">
        <v>2791</v>
      </c>
      <c r="H278" t="s">
        <v>166</v>
      </c>
      <c r="I278" t="s">
        <v>167</v>
      </c>
      <c r="J278" t="s">
        <v>41</v>
      </c>
      <c r="K278" t="s">
        <v>66</v>
      </c>
      <c r="L278" t="s">
        <v>937</v>
      </c>
      <c r="M278" t="s">
        <v>31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32</v>
      </c>
      <c r="U278" t="s">
        <v>33</v>
      </c>
      <c r="V278" t="s">
        <v>2834</v>
      </c>
      <c r="W278" t="s">
        <v>2834</v>
      </c>
      <c r="X278" t="s">
        <v>2834</v>
      </c>
      <c r="Y278" t="s">
        <v>2834</v>
      </c>
      <c r="Z278">
        <v>1</v>
      </c>
      <c r="AA278" t="s">
        <v>2789</v>
      </c>
      <c r="AB278">
        <v>-0.14000000000000001</v>
      </c>
      <c r="AC278" t="s">
        <v>2795</v>
      </c>
      <c r="AD278">
        <v>23198.065200000005</v>
      </c>
      <c r="AE278">
        <v>14784.535200000004</v>
      </c>
      <c r="AF278">
        <v>0.63731759836591895</v>
      </c>
      <c r="AG278" t="s">
        <v>2820</v>
      </c>
      <c r="AH278">
        <v>2024</v>
      </c>
      <c r="AI278" t="s">
        <v>2836</v>
      </c>
    </row>
    <row r="279" spans="1:35">
      <c r="A279" t="s">
        <v>938</v>
      </c>
      <c r="B279">
        <v>45812</v>
      </c>
      <c r="C279">
        <v>45812</v>
      </c>
      <c r="D279" t="s">
        <v>790</v>
      </c>
      <c r="E279" t="s">
        <v>47</v>
      </c>
      <c r="F279" t="s">
        <v>90</v>
      </c>
      <c r="G279" t="s">
        <v>25</v>
      </c>
      <c r="H279" t="s">
        <v>236</v>
      </c>
      <c r="I279" t="s">
        <v>237</v>
      </c>
      <c r="J279" t="s">
        <v>74</v>
      </c>
      <c r="K279" t="s">
        <v>75</v>
      </c>
      <c r="L279" t="s">
        <v>939</v>
      </c>
      <c r="M279" t="s">
        <v>31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111</v>
      </c>
      <c r="U279" t="s">
        <v>68</v>
      </c>
      <c r="V279" t="s">
        <v>2834</v>
      </c>
      <c r="W279" t="s">
        <v>2834</v>
      </c>
      <c r="X279" t="s">
        <v>2834</v>
      </c>
      <c r="Y279" t="s">
        <v>2834</v>
      </c>
      <c r="Z279">
        <v>0</v>
      </c>
      <c r="AA279" t="s">
        <v>2789</v>
      </c>
      <c r="AB279">
        <v>0.15</v>
      </c>
      <c r="AC279" t="s">
        <v>2794</v>
      </c>
      <c r="AD279">
        <v>1813.6704999999999</v>
      </c>
      <c r="AE279">
        <v>811.1004999999999</v>
      </c>
      <c r="AF279">
        <v>0.4472149158295291</v>
      </c>
      <c r="AG279" t="s">
        <v>2825</v>
      </c>
      <c r="AH279">
        <v>2025</v>
      </c>
      <c r="AI279" t="s">
        <v>2835</v>
      </c>
    </row>
    <row r="280" spans="1:35">
      <c r="A280" t="s">
        <v>940</v>
      </c>
      <c r="B280">
        <v>45723</v>
      </c>
      <c r="C280">
        <v>45730</v>
      </c>
      <c r="D280" t="s">
        <v>941</v>
      </c>
      <c r="E280" t="s">
        <v>114</v>
      </c>
      <c r="F280" t="s">
        <v>37</v>
      </c>
      <c r="G280" t="s">
        <v>25</v>
      </c>
      <c r="H280" t="s">
        <v>350</v>
      </c>
      <c r="I280" t="s">
        <v>351</v>
      </c>
      <c r="J280" t="s">
        <v>74</v>
      </c>
      <c r="K280" t="s">
        <v>75</v>
      </c>
      <c r="L280" t="s">
        <v>942</v>
      </c>
      <c r="M280" t="s">
        <v>44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32</v>
      </c>
      <c r="U280" t="s">
        <v>103</v>
      </c>
      <c r="V280" t="s">
        <v>2834</v>
      </c>
      <c r="W280" t="s">
        <v>2834</v>
      </c>
      <c r="X280" t="s">
        <v>2834</v>
      </c>
      <c r="Y280" t="s">
        <v>2834</v>
      </c>
      <c r="Z280">
        <v>7</v>
      </c>
      <c r="AA280" t="s">
        <v>2789</v>
      </c>
      <c r="AB280">
        <v>0.05</v>
      </c>
      <c r="AC280" t="s">
        <v>2794</v>
      </c>
      <c r="AD280">
        <v>3780.6579999999999</v>
      </c>
      <c r="AE280">
        <v>1632.348</v>
      </c>
      <c r="AF280">
        <v>0.43176293650470365</v>
      </c>
      <c r="AG280" t="s">
        <v>2822</v>
      </c>
      <c r="AH280">
        <v>2025</v>
      </c>
      <c r="AI280" t="s">
        <v>2835</v>
      </c>
    </row>
    <row r="281" spans="1:35">
      <c r="A281" t="s">
        <v>943</v>
      </c>
      <c r="B281">
        <v>45391</v>
      </c>
      <c r="C281">
        <v>45392</v>
      </c>
      <c r="D281" t="s">
        <v>944</v>
      </c>
      <c r="E281" t="s">
        <v>141</v>
      </c>
      <c r="F281" t="s">
        <v>37</v>
      </c>
      <c r="G281" t="s">
        <v>63</v>
      </c>
      <c r="H281" t="s">
        <v>64</v>
      </c>
      <c r="I281" t="s">
        <v>65</v>
      </c>
      <c r="J281" t="s">
        <v>28</v>
      </c>
      <c r="K281" t="s">
        <v>124</v>
      </c>
      <c r="L281" t="s">
        <v>945</v>
      </c>
      <c r="M281" t="s">
        <v>50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32</v>
      </c>
      <c r="U281" t="s">
        <v>33</v>
      </c>
      <c r="V281" t="s">
        <v>2834</v>
      </c>
      <c r="W281" t="s">
        <v>2834</v>
      </c>
      <c r="X281" t="s">
        <v>2834</v>
      </c>
      <c r="Y281" t="s">
        <v>2834</v>
      </c>
      <c r="Z281">
        <v>1</v>
      </c>
      <c r="AA281" t="s">
        <v>2789</v>
      </c>
      <c r="AB281">
        <v>0.05</v>
      </c>
      <c r="AC281" t="s">
        <v>2794</v>
      </c>
      <c r="AD281">
        <v>4141.1639999999998</v>
      </c>
      <c r="AE281">
        <v>1386.9939999999997</v>
      </c>
      <c r="AF281">
        <v>0.33492853700070796</v>
      </c>
      <c r="AG281" t="s">
        <v>2823</v>
      </c>
      <c r="AH281">
        <v>2024</v>
      </c>
      <c r="AI281" t="s">
        <v>2835</v>
      </c>
    </row>
    <row r="282" spans="1:35">
      <c r="A282" t="s">
        <v>946</v>
      </c>
      <c r="B282">
        <v>45649</v>
      </c>
      <c r="C282">
        <v>45652</v>
      </c>
      <c r="D282" t="s">
        <v>947</v>
      </c>
      <c r="E282" t="s">
        <v>89</v>
      </c>
      <c r="F282" t="s">
        <v>24</v>
      </c>
      <c r="G282" t="s">
        <v>54</v>
      </c>
      <c r="H282" t="s">
        <v>175</v>
      </c>
      <c r="I282" t="s">
        <v>176</v>
      </c>
      <c r="J282" t="s">
        <v>74</v>
      </c>
      <c r="K282" t="s">
        <v>80</v>
      </c>
      <c r="L282" t="s">
        <v>948</v>
      </c>
      <c r="M282" t="s">
        <v>59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32</v>
      </c>
      <c r="U282" t="s">
        <v>33</v>
      </c>
      <c r="V282" t="s">
        <v>2834</v>
      </c>
      <c r="W282" t="s">
        <v>2834</v>
      </c>
      <c r="X282" t="s">
        <v>2834</v>
      </c>
      <c r="Y282" t="s">
        <v>2834</v>
      </c>
      <c r="Z282">
        <v>3</v>
      </c>
      <c r="AA282" t="s">
        <v>2789</v>
      </c>
      <c r="AB282">
        <v>0</v>
      </c>
      <c r="AC282" t="s">
        <v>2794</v>
      </c>
      <c r="AD282">
        <v>8943.0299999999988</v>
      </c>
      <c r="AE282">
        <v>3777.6499999999987</v>
      </c>
      <c r="AF282">
        <v>0.42241276167026154</v>
      </c>
      <c r="AG282" t="s">
        <v>2831</v>
      </c>
      <c r="AH282">
        <v>2024</v>
      </c>
      <c r="AI282" t="s">
        <v>2835</v>
      </c>
    </row>
    <row r="283" spans="1:35">
      <c r="A283" t="s">
        <v>949</v>
      </c>
      <c r="B283">
        <v>45863</v>
      </c>
      <c r="C283">
        <v>45865</v>
      </c>
      <c r="D283" t="s">
        <v>950</v>
      </c>
      <c r="E283" t="s">
        <v>264</v>
      </c>
      <c r="F283" t="s">
        <v>24</v>
      </c>
      <c r="G283" t="s">
        <v>38</v>
      </c>
      <c r="H283" t="s">
        <v>228</v>
      </c>
      <c r="I283" t="s">
        <v>229</v>
      </c>
      <c r="J283" t="s">
        <v>28</v>
      </c>
      <c r="K283" t="s">
        <v>153</v>
      </c>
      <c r="L283" t="s">
        <v>951</v>
      </c>
      <c r="M283" t="s">
        <v>31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32</v>
      </c>
      <c r="U283" t="s">
        <v>33</v>
      </c>
      <c r="V283" t="s">
        <v>2834</v>
      </c>
      <c r="W283" t="s">
        <v>2834</v>
      </c>
      <c r="X283" t="s">
        <v>2834</v>
      </c>
      <c r="Y283" t="s">
        <v>2834</v>
      </c>
      <c r="Z283">
        <v>2</v>
      </c>
      <c r="AA283" t="s">
        <v>2789</v>
      </c>
      <c r="AB283">
        <v>0.2</v>
      </c>
      <c r="AC283" t="s">
        <v>2794</v>
      </c>
      <c r="AD283">
        <v>16504.223999999998</v>
      </c>
      <c r="AE283">
        <v>5241.5139999999992</v>
      </c>
      <c r="AF283">
        <v>0.31758621308096641</v>
      </c>
      <c r="AG283" t="s">
        <v>2826</v>
      </c>
      <c r="AH283">
        <v>2025</v>
      </c>
      <c r="AI283" t="s">
        <v>2835</v>
      </c>
    </row>
    <row r="284" spans="1:35">
      <c r="A284" t="s">
        <v>952</v>
      </c>
      <c r="B284">
        <v>45566</v>
      </c>
      <c r="C284">
        <v>45567</v>
      </c>
      <c r="D284" t="s">
        <v>953</v>
      </c>
      <c r="E284" t="s">
        <v>23</v>
      </c>
      <c r="F284" t="s">
        <v>95</v>
      </c>
      <c r="G284" t="s">
        <v>38</v>
      </c>
      <c r="H284" t="s">
        <v>166</v>
      </c>
      <c r="I284" t="s">
        <v>167</v>
      </c>
      <c r="J284" t="s">
        <v>41</v>
      </c>
      <c r="K284" t="s">
        <v>42</v>
      </c>
      <c r="L284" t="s">
        <v>954</v>
      </c>
      <c r="M284" t="s">
        <v>31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32</v>
      </c>
      <c r="U284" t="s">
        <v>33</v>
      </c>
      <c r="V284" t="s">
        <v>2834</v>
      </c>
      <c r="W284" t="s">
        <v>2834</v>
      </c>
      <c r="X284" t="s">
        <v>2834</v>
      </c>
      <c r="Y284" t="s">
        <v>2834</v>
      </c>
      <c r="Z284">
        <v>1</v>
      </c>
      <c r="AA284" t="s">
        <v>2789</v>
      </c>
      <c r="AB284">
        <v>0</v>
      </c>
      <c r="AC284" t="s">
        <v>2794</v>
      </c>
      <c r="AD284">
        <v>4596</v>
      </c>
      <c r="AE284">
        <v>1375.67</v>
      </c>
      <c r="AF284">
        <v>0.29931897302001742</v>
      </c>
      <c r="AG284" t="s">
        <v>2829</v>
      </c>
      <c r="AH284">
        <v>2024</v>
      </c>
      <c r="AI284" t="s">
        <v>2835</v>
      </c>
    </row>
    <row r="285" spans="1:35">
      <c r="A285" t="s">
        <v>955</v>
      </c>
      <c r="B285">
        <v>45729</v>
      </c>
      <c r="C285">
        <v>45736</v>
      </c>
      <c r="D285" t="s">
        <v>956</v>
      </c>
      <c r="E285" t="s">
        <v>71</v>
      </c>
      <c r="F285" t="s">
        <v>24</v>
      </c>
      <c r="G285" t="s">
        <v>63</v>
      </c>
      <c r="H285" t="s">
        <v>64</v>
      </c>
      <c r="I285" t="s">
        <v>65</v>
      </c>
      <c r="J285" t="s">
        <v>41</v>
      </c>
      <c r="K285" t="s">
        <v>57</v>
      </c>
      <c r="L285" t="s">
        <v>957</v>
      </c>
      <c r="M285" t="s">
        <v>50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32</v>
      </c>
      <c r="U285" t="s">
        <v>33</v>
      </c>
      <c r="V285" t="s">
        <v>2834</v>
      </c>
      <c r="W285" t="s">
        <v>2834</v>
      </c>
      <c r="X285" t="s">
        <v>2834</v>
      </c>
      <c r="Y285" t="s">
        <v>2834</v>
      </c>
      <c r="Z285">
        <v>7</v>
      </c>
      <c r="AA285" t="s">
        <v>2789</v>
      </c>
      <c r="AB285">
        <v>0</v>
      </c>
      <c r="AC285" t="s">
        <v>2794</v>
      </c>
      <c r="AD285">
        <v>1814.01</v>
      </c>
      <c r="AE285">
        <v>780.54</v>
      </c>
      <c r="AF285">
        <v>0.43028428729720342</v>
      </c>
      <c r="AG285" t="s">
        <v>2822</v>
      </c>
      <c r="AH285">
        <v>2025</v>
      </c>
      <c r="AI285" t="s">
        <v>2835</v>
      </c>
    </row>
    <row r="286" spans="1:35">
      <c r="A286" t="s">
        <v>958</v>
      </c>
      <c r="B286">
        <v>45634</v>
      </c>
      <c r="C286">
        <v>45640</v>
      </c>
      <c r="D286" t="s">
        <v>959</v>
      </c>
      <c r="E286" t="s">
        <v>23</v>
      </c>
      <c r="F286" t="s">
        <v>24</v>
      </c>
      <c r="G286" t="s">
        <v>38</v>
      </c>
      <c r="H286" t="s">
        <v>39</v>
      </c>
      <c r="I286" t="s">
        <v>40</v>
      </c>
      <c r="J286" t="s">
        <v>41</v>
      </c>
      <c r="K286" t="s">
        <v>42</v>
      </c>
      <c r="L286" t="s">
        <v>960</v>
      </c>
      <c r="M286" t="s">
        <v>44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32</v>
      </c>
      <c r="U286" t="s">
        <v>103</v>
      </c>
      <c r="V286" t="s">
        <v>2834</v>
      </c>
      <c r="W286" t="s">
        <v>2834</v>
      </c>
      <c r="X286" t="s">
        <v>2834</v>
      </c>
      <c r="Y286" t="s">
        <v>2834</v>
      </c>
      <c r="Z286">
        <v>6</v>
      </c>
      <c r="AA286" t="s">
        <v>2789</v>
      </c>
      <c r="AB286">
        <v>0</v>
      </c>
      <c r="AC286" t="s">
        <v>2794</v>
      </c>
      <c r="AD286">
        <v>4730.76</v>
      </c>
      <c r="AE286">
        <v>1591.0300000000002</v>
      </c>
      <c r="AF286">
        <v>0.33631594077907145</v>
      </c>
      <c r="AG286" t="s">
        <v>2831</v>
      </c>
      <c r="AH286">
        <v>2024</v>
      </c>
      <c r="AI286" t="s">
        <v>2835</v>
      </c>
    </row>
    <row r="287" spans="1:35">
      <c r="A287" t="s">
        <v>961</v>
      </c>
      <c r="B287">
        <v>45884</v>
      </c>
      <c r="C287">
        <v>45889</v>
      </c>
      <c r="D287" t="s">
        <v>962</v>
      </c>
      <c r="E287" t="s">
        <v>79</v>
      </c>
      <c r="F287" t="s">
        <v>95</v>
      </c>
      <c r="G287" t="s">
        <v>25</v>
      </c>
      <c r="H287" t="s">
        <v>26</v>
      </c>
      <c r="I287" t="s">
        <v>27</v>
      </c>
      <c r="J287" t="s">
        <v>28</v>
      </c>
      <c r="K287" t="s">
        <v>124</v>
      </c>
      <c r="L287" t="s">
        <v>963</v>
      </c>
      <c r="M287" t="s">
        <v>59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32</v>
      </c>
      <c r="U287" t="s">
        <v>33</v>
      </c>
      <c r="V287" t="s">
        <v>2834</v>
      </c>
      <c r="W287" t="s">
        <v>2834</v>
      </c>
      <c r="X287" t="s">
        <v>2834</v>
      </c>
      <c r="Y287" t="s">
        <v>2834</v>
      </c>
      <c r="Z287">
        <v>5</v>
      </c>
      <c r="AA287" t="s">
        <v>2789</v>
      </c>
      <c r="AB287">
        <v>0</v>
      </c>
      <c r="AC287" t="s">
        <v>2794</v>
      </c>
      <c r="AD287">
        <v>36735.93</v>
      </c>
      <c r="AE287">
        <v>5915.09</v>
      </c>
      <c r="AF287">
        <v>0.16101647624001897</v>
      </c>
      <c r="AG287" t="s">
        <v>2827</v>
      </c>
      <c r="AH287">
        <v>2025</v>
      </c>
      <c r="AI287" t="s">
        <v>2835</v>
      </c>
    </row>
    <row r="288" spans="1:35">
      <c r="A288" t="s">
        <v>964</v>
      </c>
      <c r="B288">
        <v>45350</v>
      </c>
      <c r="C288">
        <v>45353</v>
      </c>
      <c r="D288" t="s">
        <v>965</v>
      </c>
      <c r="E288" t="s">
        <v>114</v>
      </c>
      <c r="F288" t="s">
        <v>37</v>
      </c>
      <c r="G288" t="s">
        <v>25</v>
      </c>
      <c r="H288" t="s">
        <v>350</v>
      </c>
      <c r="I288" t="s">
        <v>351</v>
      </c>
      <c r="J288" t="s">
        <v>41</v>
      </c>
      <c r="K288" t="s">
        <v>57</v>
      </c>
      <c r="L288" t="s">
        <v>966</v>
      </c>
      <c r="M288" t="s">
        <v>50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111</v>
      </c>
      <c r="U288" t="s">
        <v>103</v>
      </c>
      <c r="V288" t="s">
        <v>2834</v>
      </c>
      <c r="W288" t="s">
        <v>2834</v>
      </c>
      <c r="X288" t="s">
        <v>2834</v>
      </c>
      <c r="Y288" t="s">
        <v>2834</v>
      </c>
      <c r="Z288">
        <v>3</v>
      </c>
      <c r="AA288" t="s">
        <v>2789</v>
      </c>
      <c r="AB288">
        <v>0.1</v>
      </c>
      <c r="AC288" t="s">
        <v>2794</v>
      </c>
      <c r="AD288">
        <v>4421.3399999999992</v>
      </c>
      <c r="AE288">
        <v>1931.3599999999992</v>
      </c>
      <c r="AF288">
        <v>0.43682684435035524</v>
      </c>
      <c r="AG288" t="s">
        <v>2821</v>
      </c>
      <c r="AH288">
        <v>2024</v>
      </c>
      <c r="AI288" t="s">
        <v>2835</v>
      </c>
    </row>
    <row r="289" spans="1:35">
      <c r="A289" t="s">
        <v>967</v>
      </c>
      <c r="B289">
        <v>45540</v>
      </c>
      <c r="C289">
        <v>45542</v>
      </c>
      <c r="D289" t="s">
        <v>968</v>
      </c>
      <c r="E289" t="s">
        <v>79</v>
      </c>
      <c r="F289" t="s">
        <v>37</v>
      </c>
      <c r="G289" t="s">
        <v>54</v>
      </c>
      <c r="H289" t="s">
        <v>247</v>
      </c>
      <c r="I289" t="s">
        <v>248</v>
      </c>
      <c r="J289" t="s">
        <v>74</v>
      </c>
      <c r="K289" t="s">
        <v>80</v>
      </c>
      <c r="L289" t="s">
        <v>969</v>
      </c>
      <c r="M289" t="s">
        <v>59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32</v>
      </c>
      <c r="U289" t="s">
        <v>68</v>
      </c>
      <c r="V289" t="s">
        <v>2834</v>
      </c>
      <c r="W289" t="s">
        <v>2834</v>
      </c>
      <c r="X289" t="s">
        <v>2834</v>
      </c>
      <c r="Y289" t="s">
        <v>2834</v>
      </c>
      <c r="Z289">
        <v>2</v>
      </c>
      <c r="AA289" t="s">
        <v>2789</v>
      </c>
      <c r="AB289">
        <v>0.15</v>
      </c>
      <c r="AC289" t="s">
        <v>2794</v>
      </c>
      <c r="AD289">
        <v>6516.9329999999991</v>
      </c>
      <c r="AE289">
        <v>2005.3929999999991</v>
      </c>
      <c r="AF289">
        <v>0.30772036477895343</v>
      </c>
      <c r="AG289" t="s">
        <v>2828</v>
      </c>
      <c r="AH289">
        <v>2024</v>
      </c>
      <c r="AI289" t="s">
        <v>2835</v>
      </c>
    </row>
    <row r="290" spans="1:35">
      <c r="A290" t="s">
        <v>970</v>
      </c>
      <c r="B290">
        <v>45467</v>
      </c>
      <c r="C290">
        <v>45467</v>
      </c>
      <c r="D290" t="s">
        <v>971</v>
      </c>
      <c r="E290" t="s">
        <v>141</v>
      </c>
      <c r="F290" t="s">
        <v>37</v>
      </c>
      <c r="G290" t="s">
        <v>38</v>
      </c>
      <c r="H290" t="s">
        <v>145</v>
      </c>
      <c r="I290" t="s">
        <v>146</v>
      </c>
      <c r="J290" t="s">
        <v>28</v>
      </c>
      <c r="K290" t="s">
        <v>153</v>
      </c>
      <c r="L290" t="s">
        <v>972</v>
      </c>
      <c r="M290" t="s">
        <v>44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32</v>
      </c>
      <c r="U290" t="s">
        <v>33</v>
      </c>
      <c r="V290" t="s">
        <v>2834</v>
      </c>
      <c r="W290" t="s">
        <v>2834</v>
      </c>
      <c r="X290" t="s">
        <v>2834</v>
      </c>
      <c r="Y290" t="s">
        <v>2834</v>
      </c>
      <c r="Z290">
        <v>0</v>
      </c>
      <c r="AA290" t="s">
        <v>2789</v>
      </c>
      <c r="AB290">
        <v>0.15</v>
      </c>
      <c r="AC290" t="s">
        <v>2794</v>
      </c>
      <c r="AD290">
        <v>7411.829999999999</v>
      </c>
      <c r="AE290">
        <v>2507.1999999999989</v>
      </c>
      <c r="AF290">
        <v>0.3382700358750807</v>
      </c>
      <c r="AG290" t="s">
        <v>2825</v>
      </c>
      <c r="AH290">
        <v>2024</v>
      </c>
      <c r="AI290" t="s">
        <v>2835</v>
      </c>
    </row>
    <row r="291" spans="1:35">
      <c r="A291" t="s">
        <v>973</v>
      </c>
      <c r="B291">
        <v>45827</v>
      </c>
      <c r="C291">
        <v>45835</v>
      </c>
      <c r="D291" t="s">
        <v>974</v>
      </c>
      <c r="E291" t="s">
        <v>23</v>
      </c>
      <c r="F291" t="s">
        <v>95</v>
      </c>
      <c r="G291" t="s">
        <v>54</v>
      </c>
      <c r="H291" t="s">
        <v>247</v>
      </c>
      <c r="I291" t="s">
        <v>248</v>
      </c>
      <c r="J291" t="s">
        <v>41</v>
      </c>
      <c r="K291" t="s">
        <v>158</v>
      </c>
      <c r="L291" t="s">
        <v>975</v>
      </c>
      <c r="M291" t="s">
        <v>50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32</v>
      </c>
      <c r="U291" t="s">
        <v>33</v>
      </c>
      <c r="V291" t="s">
        <v>2834</v>
      </c>
      <c r="W291" t="s">
        <v>2834</v>
      </c>
      <c r="X291" t="s">
        <v>2834</v>
      </c>
      <c r="Y291" t="s">
        <v>2834</v>
      </c>
      <c r="Z291">
        <v>8</v>
      </c>
      <c r="AA291" t="s">
        <v>2789</v>
      </c>
      <c r="AB291">
        <v>0.05</v>
      </c>
      <c r="AC291" t="s">
        <v>2794</v>
      </c>
      <c r="AD291">
        <v>8258.7109999999993</v>
      </c>
      <c r="AE291">
        <v>1239.7409999999991</v>
      </c>
      <c r="AF291">
        <v>0.15011313508851432</v>
      </c>
      <c r="AG291" t="s">
        <v>2825</v>
      </c>
      <c r="AH291">
        <v>2025</v>
      </c>
      <c r="AI291" t="s">
        <v>2835</v>
      </c>
    </row>
    <row r="292" spans="1:35">
      <c r="A292" t="s">
        <v>976</v>
      </c>
      <c r="B292">
        <v>45891</v>
      </c>
      <c r="C292">
        <v>45895</v>
      </c>
      <c r="D292" t="s">
        <v>977</v>
      </c>
      <c r="E292" t="s">
        <v>162</v>
      </c>
      <c r="F292" t="s">
        <v>95</v>
      </c>
      <c r="G292" t="s">
        <v>38</v>
      </c>
      <c r="H292" t="s">
        <v>228</v>
      </c>
      <c r="I292" t="s">
        <v>229</v>
      </c>
      <c r="J292" t="s">
        <v>41</v>
      </c>
      <c r="K292" t="s">
        <v>42</v>
      </c>
      <c r="L292" t="s">
        <v>978</v>
      </c>
      <c r="M292" t="s">
        <v>59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32</v>
      </c>
      <c r="U292" t="s">
        <v>33</v>
      </c>
      <c r="V292" t="s">
        <v>2834</v>
      </c>
      <c r="W292" t="s">
        <v>2834</v>
      </c>
      <c r="X292" t="s">
        <v>2834</v>
      </c>
      <c r="Y292" t="s">
        <v>2834</v>
      </c>
      <c r="Z292">
        <v>4</v>
      </c>
      <c r="AA292" t="s">
        <v>2789</v>
      </c>
      <c r="AB292">
        <v>0.1</v>
      </c>
      <c r="AC292" t="s">
        <v>2794</v>
      </c>
      <c r="AD292">
        <v>1658.3670000000002</v>
      </c>
      <c r="AE292">
        <v>687.24700000000018</v>
      </c>
      <c r="AF292">
        <v>0.41441188832146331</v>
      </c>
      <c r="AG292" t="s">
        <v>2827</v>
      </c>
      <c r="AH292">
        <v>2025</v>
      </c>
      <c r="AI292" t="s">
        <v>2835</v>
      </c>
    </row>
    <row r="293" spans="1:35">
      <c r="A293" t="s">
        <v>979</v>
      </c>
      <c r="B293">
        <v>45387</v>
      </c>
      <c r="C293">
        <v>45392</v>
      </c>
      <c r="D293" t="s">
        <v>980</v>
      </c>
      <c r="E293" t="s">
        <v>114</v>
      </c>
      <c r="F293" t="s">
        <v>95</v>
      </c>
      <c r="G293" t="s">
        <v>25</v>
      </c>
      <c r="H293" t="s">
        <v>26</v>
      </c>
      <c r="I293" t="s">
        <v>27</v>
      </c>
      <c r="J293" t="s">
        <v>28</v>
      </c>
      <c r="K293" t="s">
        <v>153</v>
      </c>
      <c r="L293" t="s">
        <v>981</v>
      </c>
      <c r="M293" t="s">
        <v>59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32</v>
      </c>
      <c r="U293" t="s">
        <v>33</v>
      </c>
      <c r="V293" t="s">
        <v>2834</v>
      </c>
      <c r="W293" t="s">
        <v>2834</v>
      </c>
      <c r="X293" t="s">
        <v>2834</v>
      </c>
      <c r="Y293" t="s">
        <v>2834</v>
      </c>
      <c r="Z293">
        <v>5</v>
      </c>
      <c r="AA293" t="s">
        <v>2789</v>
      </c>
      <c r="AB293">
        <v>0.25</v>
      </c>
      <c r="AC293" t="s">
        <v>2794</v>
      </c>
      <c r="AD293">
        <v>9685.98</v>
      </c>
      <c r="AE293">
        <v>1955.9399999999996</v>
      </c>
      <c r="AF293">
        <v>0.20193516815025425</v>
      </c>
      <c r="AG293" t="s">
        <v>2823</v>
      </c>
      <c r="AH293">
        <v>2024</v>
      </c>
      <c r="AI293" t="s">
        <v>2835</v>
      </c>
    </row>
    <row r="294" spans="1:35">
      <c r="A294" t="s">
        <v>982</v>
      </c>
      <c r="B294">
        <v>45716</v>
      </c>
      <c r="C294">
        <v>45719</v>
      </c>
      <c r="D294" t="s">
        <v>983</v>
      </c>
      <c r="E294" t="s">
        <v>264</v>
      </c>
      <c r="F294" t="s">
        <v>95</v>
      </c>
      <c r="G294" t="s">
        <v>25</v>
      </c>
      <c r="H294" t="s">
        <v>236</v>
      </c>
      <c r="I294" t="s">
        <v>237</v>
      </c>
      <c r="J294" t="s">
        <v>28</v>
      </c>
      <c r="K294" t="s">
        <v>48</v>
      </c>
      <c r="L294" t="s">
        <v>984</v>
      </c>
      <c r="M294" t="s">
        <v>44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111</v>
      </c>
      <c r="U294" t="s">
        <v>68</v>
      </c>
      <c r="V294" t="s">
        <v>2834</v>
      </c>
      <c r="W294" t="s">
        <v>2834</v>
      </c>
      <c r="X294" t="s">
        <v>2834</v>
      </c>
      <c r="Y294" t="s">
        <v>2834</v>
      </c>
      <c r="Z294">
        <v>3</v>
      </c>
      <c r="AA294" t="s">
        <v>2789</v>
      </c>
      <c r="AB294">
        <v>0</v>
      </c>
      <c r="AC294" t="s">
        <v>2794</v>
      </c>
      <c r="AD294">
        <v>33740.549999999996</v>
      </c>
      <c r="AE294">
        <v>9118.6599999999962</v>
      </c>
      <c r="AF294">
        <v>0.2702581908119458</v>
      </c>
      <c r="AG294" t="s">
        <v>2821</v>
      </c>
      <c r="AH294">
        <v>2025</v>
      </c>
      <c r="AI294" t="s">
        <v>2835</v>
      </c>
    </row>
    <row r="295" spans="1:35">
      <c r="A295" t="s">
        <v>985</v>
      </c>
      <c r="B295">
        <v>45358</v>
      </c>
      <c r="C295">
        <v>45362</v>
      </c>
      <c r="D295" t="s">
        <v>986</v>
      </c>
      <c r="E295" t="s">
        <v>53</v>
      </c>
      <c r="F295" t="s">
        <v>95</v>
      </c>
      <c r="G295" t="s">
        <v>54</v>
      </c>
      <c r="H295" t="s">
        <v>55</v>
      </c>
      <c r="I295" t="s">
        <v>56</v>
      </c>
      <c r="J295" t="s">
        <v>74</v>
      </c>
      <c r="K295" t="s">
        <v>171</v>
      </c>
      <c r="L295" t="s">
        <v>987</v>
      </c>
      <c r="M295" t="s">
        <v>50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32</v>
      </c>
      <c r="U295" t="s">
        <v>33</v>
      </c>
      <c r="V295" t="s">
        <v>2834</v>
      </c>
      <c r="W295" t="s">
        <v>2834</v>
      </c>
      <c r="X295" t="s">
        <v>2834</v>
      </c>
      <c r="Y295" t="s">
        <v>2834</v>
      </c>
      <c r="Z295">
        <v>4</v>
      </c>
      <c r="AA295" t="s">
        <v>2789</v>
      </c>
      <c r="AB295">
        <v>0.65</v>
      </c>
      <c r="AC295" t="s">
        <v>2798</v>
      </c>
      <c r="AD295">
        <v>3081.0569999999998</v>
      </c>
      <c r="AE295">
        <v>-3459.9830000000002</v>
      </c>
      <c r="AF295">
        <v>-1.1229857156164267</v>
      </c>
      <c r="AG295" t="s">
        <v>2822</v>
      </c>
      <c r="AH295">
        <v>2024</v>
      </c>
      <c r="AI295" t="s">
        <v>2836</v>
      </c>
    </row>
    <row r="296" spans="1:35">
      <c r="A296" t="s">
        <v>988</v>
      </c>
      <c r="B296">
        <v>45854</v>
      </c>
      <c r="C296">
        <v>45860</v>
      </c>
      <c r="D296" t="s">
        <v>989</v>
      </c>
      <c r="E296" t="s">
        <v>114</v>
      </c>
      <c r="F296" t="s">
        <v>24</v>
      </c>
      <c r="G296" t="s">
        <v>38</v>
      </c>
      <c r="H296" t="s">
        <v>39</v>
      </c>
      <c r="I296" t="s">
        <v>40</v>
      </c>
      <c r="J296" t="s">
        <v>74</v>
      </c>
      <c r="K296" t="s">
        <v>171</v>
      </c>
      <c r="L296" t="s">
        <v>990</v>
      </c>
      <c r="M296" t="s">
        <v>31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32</v>
      </c>
      <c r="U296" t="s">
        <v>103</v>
      </c>
      <c r="V296" t="s">
        <v>2834</v>
      </c>
      <c r="W296" t="s">
        <v>2834</v>
      </c>
      <c r="X296" t="s">
        <v>2834</v>
      </c>
      <c r="Y296" t="s">
        <v>2834</v>
      </c>
      <c r="Z296">
        <v>6</v>
      </c>
      <c r="AA296" t="s">
        <v>2789</v>
      </c>
      <c r="AB296">
        <v>0.25</v>
      </c>
      <c r="AC296" t="s">
        <v>2794</v>
      </c>
      <c r="AD296">
        <v>18716.985000000001</v>
      </c>
      <c r="AE296">
        <v>6434.5550000000003</v>
      </c>
      <c r="AF296">
        <v>0.34378159730319813</v>
      </c>
      <c r="AG296" t="s">
        <v>2826</v>
      </c>
      <c r="AH296">
        <v>2025</v>
      </c>
      <c r="AI296" t="s">
        <v>2835</v>
      </c>
    </row>
    <row r="297" spans="1:35">
      <c r="A297" t="s">
        <v>991</v>
      </c>
      <c r="B297">
        <v>45833</v>
      </c>
      <c r="C297">
        <v>45836</v>
      </c>
      <c r="D297" t="s">
        <v>992</v>
      </c>
      <c r="E297" t="s">
        <v>89</v>
      </c>
      <c r="F297" t="s">
        <v>37</v>
      </c>
      <c r="G297" t="s">
        <v>38</v>
      </c>
      <c r="H297" t="s">
        <v>166</v>
      </c>
      <c r="I297" t="s">
        <v>167</v>
      </c>
      <c r="J297" t="s">
        <v>28</v>
      </c>
      <c r="K297" t="s">
        <v>153</v>
      </c>
      <c r="L297" t="s">
        <v>993</v>
      </c>
      <c r="M297" t="s">
        <v>59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32</v>
      </c>
      <c r="U297" t="s">
        <v>33</v>
      </c>
      <c r="V297" t="s">
        <v>2834</v>
      </c>
      <c r="W297" t="s">
        <v>2834</v>
      </c>
      <c r="X297" t="s">
        <v>2834</v>
      </c>
      <c r="Y297" t="s">
        <v>2834</v>
      </c>
      <c r="Z297">
        <v>3</v>
      </c>
      <c r="AA297" t="s">
        <v>2789</v>
      </c>
      <c r="AB297">
        <v>0.1</v>
      </c>
      <c r="AC297" t="s">
        <v>2794</v>
      </c>
      <c r="AD297">
        <v>9385.3350000000009</v>
      </c>
      <c r="AE297">
        <v>3556.795000000001</v>
      </c>
      <c r="AF297">
        <v>0.37897368607513748</v>
      </c>
      <c r="AG297" t="s">
        <v>2825</v>
      </c>
      <c r="AH297">
        <v>2025</v>
      </c>
      <c r="AI297" t="s">
        <v>2835</v>
      </c>
    </row>
    <row r="298" spans="1:35">
      <c r="A298" t="s">
        <v>994</v>
      </c>
      <c r="B298">
        <v>45801</v>
      </c>
      <c r="C298">
        <v>45803</v>
      </c>
      <c r="D298" t="s">
        <v>995</v>
      </c>
      <c r="E298" t="s">
        <v>89</v>
      </c>
      <c r="F298" t="s">
        <v>95</v>
      </c>
      <c r="G298" t="s">
        <v>25</v>
      </c>
      <c r="H298" t="s">
        <v>236</v>
      </c>
      <c r="I298" t="s">
        <v>237</v>
      </c>
      <c r="J298" t="s">
        <v>41</v>
      </c>
      <c r="K298" t="s">
        <v>57</v>
      </c>
      <c r="L298" t="s">
        <v>996</v>
      </c>
      <c r="M298" t="s">
        <v>44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32</v>
      </c>
      <c r="U298" t="s">
        <v>33</v>
      </c>
      <c r="V298" t="s">
        <v>2834</v>
      </c>
      <c r="W298" t="s">
        <v>2834</v>
      </c>
      <c r="X298" t="s">
        <v>2834</v>
      </c>
      <c r="Y298" t="s">
        <v>2834</v>
      </c>
      <c r="Z298">
        <v>2</v>
      </c>
      <c r="AA298" t="s">
        <v>2789</v>
      </c>
      <c r="AB298">
        <v>0.15</v>
      </c>
      <c r="AC298" t="s">
        <v>2794</v>
      </c>
      <c r="AD298">
        <v>17826.591</v>
      </c>
      <c r="AE298">
        <v>6971.241</v>
      </c>
      <c r="AF298">
        <v>0.39105855965394615</v>
      </c>
      <c r="AG298" t="s">
        <v>2824</v>
      </c>
      <c r="AH298">
        <v>2025</v>
      </c>
      <c r="AI298" t="s">
        <v>2835</v>
      </c>
    </row>
    <row r="299" spans="1:35">
      <c r="A299" t="s">
        <v>997</v>
      </c>
      <c r="B299">
        <v>45594</v>
      </c>
      <c r="C299">
        <v>45602</v>
      </c>
      <c r="D299" t="s">
        <v>998</v>
      </c>
      <c r="E299" t="s">
        <v>132</v>
      </c>
      <c r="F299" t="s">
        <v>90</v>
      </c>
      <c r="G299" t="s">
        <v>54</v>
      </c>
      <c r="H299" t="s">
        <v>247</v>
      </c>
      <c r="I299" t="s">
        <v>248</v>
      </c>
      <c r="J299" t="s">
        <v>74</v>
      </c>
      <c r="K299" t="s">
        <v>80</v>
      </c>
      <c r="L299" t="s">
        <v>999</v>
      </c>
      <c r="M299" t="s">
        <v>44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32</v>
      </c>
      <c r="U299" t="s">
        <v>33</v>
      </c>
      <c r="V299" t="s">
        <v>2834</v>
      </c>
      <c r="W299" t="s">
        <v>2834</v>
      </c>
      <c r="X299" t="s">
        <v>2834</v>
      </c>
      <c r="Y299" t="s">
        <v>2834</v>
      </c>
      <c r="Z299">
        <v>8</v>
      </c>
      <c r="AA299" t="s">
        <v>2789</v>
      </c>
      <c r="AB299">
        <v>0.15</v>
      </c>
      <c r="AC299" t="s">
        <v>2794</v>
      </c>
      <c r="AD299">
        <v>5966.5920000000006</v>
      </c>
      <c r="AE299">
        <v>1971.8720000000008</v>
      </c>
      <c r="AF299">
        <v>0.33048547646629778</v>
      </c>
      <c r="AG299" t="s">
        <v>2829</v>
      </c>
      <c r="AH299">
        <v>2024</v>
      </c>
      <c r="AI299" t="s">
        <v>2835</v>
      </c>
    </row>
    <row r="300" spans="1:35">
      <c r="A300" t="s">
        <v>1000</v>
      </c>
      <c r="B300">
        <v>45680</v>
      </c>
      <c r="C300">
        <v>45683</v>
      </c>
      <c r="D300" t="s">
        <v>1001</v>
      </c>
      <c r="E300" t="s">
        <v>47</v>
      </c>
      <c r="F300" t="s">
        <v>24</v>
      </c>
      <c r="G300" t="s">
        <v>54</v>
      </c>
      <c r="H300" t="s">
        <v>185</v>
      </c>
      <c r="I300" t="s">
        <v>186</v>
      </c>
      <c r="J300" t="s">
        <v>74</v>
      </c>
      <c r="K300" t="s">
        <v>80</v>
      </c>
      <c r="L300" t="s">
        <v>1002</v>
      </c>
      <c r="M300" t="s">
        <v>50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155</v>
      </c>
      <c r="U300" t="s">
        <v>103</v>
      </c>
      <c r="V300" t="s">
        <v>2834</v>
      </c>
      <c r="W300" t="s">
        <v>2834</v>
      </c>
      <c r="X300" t="s">
        <v>2834</v>
      </c>
      <c r="Y300" t="s">
        <v>2834</v>
      </c>
      <c r="Z300">
        <v>3</v>
      </c>
      <c r="AA300" t="s">
        <v>2789</v>
      </c>
      <c r="AB300">
        <v>0.2</v>
      </c>
      <c r="AC300" t="s">
        <v>2794</v>
      </c>
      <c r="AD300">
        <v>1951.5440000000003</v>
      </c>
      <c r="AE300">
        <v>341.59400000000028</v>
      </c>
      <c r="AF300">
        <v>0.17503781621116421</v>
      </c>
      <c r="AG300" t="s">
        <v>2820</v>
      </c>
      <c r="AH300">
        <v>2025</v>
      </c>
      <c r="AI300" t="s">
        <v>2835</v>
      </c>
    </row>
    <row r="301" spans="1:35">
      <c r="A301" t="s">
        <v>1003</v>
      </c>
      <c r="B301">
        <v>45602</v>
      </c>
      <c r="C301">
        <v>45608</v>
      </c>
      <c r="D301" t="s">
        <v>1004</v>
      </c>
      <c r="E301" t="s">
        <v>118</v>
      </c>
      <c r="F301" t="s">
        <v>37</v>
      </c>
      <c r="G301" t="s">
        <v>63</v>
      </c>
      <c r="H301" t="s">
        <v>180</v>
      </c>
      <c r="I301" t="s">
        <v>181</v>
      </c>
      <c r="J301" t="s">
        <v>74</v>
      </c>
      <c r="K301" t="s">
        <v>75</v>
      </c>
      <c r="L301" t="s">
        <v>1005</v>
      </c>
      <c r="M301" t="s">
        <v>59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32</v>
      </c>
      <c r="U301" t="s">
        <v>33</v>
      </c>
      <c r="V301" t="s">
        <v>2834</v>
      </c>
      <c r="W301" t="s">
        <v>2834</v>
      </c>
      <c r="X301" t="s">
        <v>2834</v>
      </c>
      <c r="Y301" t="s">
        <v>2834</v>
      </c>
      <c r="Z301">
        <v>6</v>
      </c>
      <c r="AA301" t="s">
        <v>2789</v>
      </c>
      <c r="AB301">
        <v>0.1</v>
      </c>
      <c r="AC301" t="s">
        <v>2794</v>
      </c>
      <c r="AD301">
        <v>10830.015000000001</v>
      </c>
      <c r="AE301">
        <v>3774.7050000000008</v>
      </c>
      <c r="AF301">
        <v>0.34854106850267524</v>
      </c>
      <c r="AG301" t="s">
        <v>2830</v>
      </c>
      <c r="AH301">
        <v>2024</v>
      </c>
      <c r="AI301" t="s">
        <v>2835</v>
      </c>
    </row>
    <row r="302" spans="1:35">
      <c r="A302" t="s">
        <v>1006</v>
      </c>
      <c r="B302">
        <v>45397</v>
      </c>
      <c r="C302">
        <v>45405</v>
      </c>
      <c r="D302" t="s">
        <v>1007</v>
      </c>
      <c r="E302" t="s">
        <v>162</v>
      </c>
      <c r="F302" t="s">
        <v>37</v>
      </c>
      <c r="G302" t="s">
        <v>25</v>
      </c>
      <c r="H302" t="s">
        <v>122</v>
      </c>
      <c r="I302" t="s">
        <v>123</v>
      </c>
      <c r="J302" t="s">
        <v>74</v>
      </c>
      <c r="K302" t="s">
        <v>75</v>
      </c>
      <c r="L302" t="s">
        <v>1008</v>
      </c>
      <c r="M302" t="s">
        <v>31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32</v>
      </c>
      <c r="U302" t="s">
        <v>33</v>
      </c>
      <c r="V302" t="s">
        <v>2834</v>
      </c>
      <c r="W302" t="s">
        <v>2834</v>
      </c>
      <c r="X302" t="s">
        <v>2834</v>
      </c>
      <c r="Y302" t="s">
        <v>2834</v>
      </c>
      <c r="Z302">
        <v>8</v>
      </c>
      <c r="AA302" t="s">
        <v>2789</v>
      </c>
      <c r="AB302">
        <v>0.1</v>
      </c>
      <c r="AC302" t="s">
        <v>2794</v>
      </c>
      <c r="AD302">
        <v>31539.293999999998</v>
      </c>
      <c r="AE302">
        <v>9439.1539999999986</v>
      </c>
      <c r="AF302">
        <v>0.29928234918638313</v>
      </c>
      <c r="AG302" t="s">
        <v>2823</v>
      </c>
      <c r="AH302">
        <v>2024</v>
      </c>
      <c r="AI302" t="s">
        <v>2835</v>
      </c>
    </row>
    <row r="303" spans="1:35">
      <c r="A303" t="s">
        <v>1009</v>
      </c>
      <c r="B303">
        <v>45805</v>
      </c>
      <c r="C303">
        <v>45809</v>
      </c>
      <c r="D303" t="s">
        <v>1010</v>
      </c>
      <c r="E303" t="s">
        <v>47</v>
      </c>
      <c r="F303" t="s">
        <v>95</v>
      </c>
      <c r="G303" t="s">
        <v>38</v>
      </c>
      <c r="H303" t="s">
        <v>145</v>
      </c>
      <c r="I303" t="s">
        <v>146</v>
      </c>
      <c r="J303" t="s">
        <v>74</v>
      </c>
      <c r="K303" t="s">
        <v>171</v>
      </c>
      <c r="L303" t="s">
        <v>1011</v>
      </c>
      <c r="M303" t="s">
        <v>44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32</v>
      </c>
      <c r="U303" t="s">
        <v>33</v>
      </c>
      <c r="V303" t="s">
        <v>2834</v>
      </c>
      <c r="W303" t="s">
        <v>2834</v>
      </c>
      <c r="X303" t="s">
        <v>2834</v>
      </c>
      <c r="Y303" t="s">
        <v>2834</v>
      </c>
      <c r="Z303">
        <v>4</v>
      </c>
      <c r="AA303" t="s">
        <v>2789</v>
      </c>
      <c r="AB303">
        <v>0.05</v>
      </c>
      <c r="AC303" t="s">
        <v>2794</v>
      </c>
      <c r="AD303">
        <v>6285.6179999999995</v>
      </c>
      <c r="AE303">
        <v>2580.2379999999994</v>
      </c>
      <c r="AF303">
        <v>0.41049869718458865</v>
      </c>
      <c r="AG303" t="s">
        <v>2824</v>
      </c>
      <c r="AH303">
        <v>2025</v>
      </c>
      <c r="AI303" t="s">
        <v>2835</v>
      </c>
    </row>
    <row r="304" spans="1:35">
      <c r="A304" t="s">
        <v>1012</v>
      </c>
      <c r="B304">
        <v>45812</v>
      </c>
      <c r="C304">
        <v>45820</v>
      </c>
      <c r="D304" t="s">
        <v>1013</v>
      </c>
      <c r="E304" t="s">
        <v>79</v>
      </c>
      <c r="F304" t="s">
        <v>24</v>
      </c>
      <c r="G304" t="s">
        <v>63</v>
      </c>
      <c r="H304" t="s">
        <v>190</v>
      </c>
      <c r="I304" t="s">
        <v>191</v>
      </c>
      <c r="J304" t="s">
        <v>28</v>
      </c>
      <c r="K304" t="s">
        <v>124</v>
      </c>
      <c r="L304" t="s">
        <v>1014</v>
      </c>
      <c r="M304" t="s">
        <v>44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32</v>
      </c>
      <c r="U304" t="s">
        <v>33</v>
      </c>
      <c r="V304" t="s">
        <v>2834</v>
      </c>
      <c r="W304" t="s">
        <v>2834</v>
      </c>
      <c r="X304" t="s">
        <v>2834</v>
      </c>
      <c r="Y304" t="s">
        <v>2834</v>
      </c>
      <c r="Z304">
        <v>8</v>
      </c>
      <c r="AA304" t="s">
        <v>2789</v>
      </c>
      <c r="AB304">
        <v>0.25</v>
      </c>
      <c r="AC304" t="s">
        <v>2794</v>
      </c>
      <c r="AD304">
        <v>4054.92</v>
      </c>
      <c r="AE304">
        <v>1630.0900000000001</v>
      </c>
      <c r="AF304">
        <v>0.40200299882611745</v>
      </c>
      <c r="AG304" t="s">
        <v>2825</v>
      </c>
      <c r="AH304">
        <v>2025</v>
      </c>
      <c r="AI304" t="s">
        <v>2835</v>
      </c>
    </row>
    <row r="305" spans="1:35">
      <c r="A305" t="s">
        <v>1015</v>
      </c>
      <c r="B305">
        <v>45466</v>
      </c>
      <c r="C305">
        <v>45471</v>
      </c>
      <c r="D305" t="s">
        <v>1016</v>
      </c>
      <c r="E305" t="s">
        <v>162</v>
      </c>
      <c r="F305" t="s">
        <v>95</v>
      </c>
      <c r="G305" t="s">
        <v>63</v>
      </c>
      <c r="H305" t="s">
        <v>180</v>
      </c>
      <c r="I305" t="s">
        <v>181</v>
      </c>
      <c r="J305" t="s">
        <v>41</v>
      </c>
      <c r="K305" t="s">
        <v>66</v>
      </c>
      <c r="L305" t="s">
        <v>1017</v>
      </c>
      <c r="M305" t="s">
        <v>59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111</v>
      </c>
      <c r="U305" t="s">
        <v>103</v>
      </c>
      <c r="V305" t="s">
        <v>2834</v>
      </c>
      <c r="W305" t="s">
        <v>2834</v>
      </c>
      <c r="X305" t="s">
        <v>2834</v>
      </c>
      <c r="Y305" t="s">
        <v>2834</v>
      </c>
      <c r="Z305">
        <v>5</v>
      </c>
      <c r="AA305" t="s">
        <v>2789</v>
      </c>
      <c r="AB305">
        <v>0.1</v>
      </c>
      <c r="AC305" t="s">
        <v>2794</v>
      </c>
      <c r="AD305">
        <v>2363.652</v>
      </c>
      <c r="AE305">
        <v>487.55200000000013</v>
      </c>
      <c r="AF305">
        <v>0.20627063544041174</v>
      </c>
      <c r="AG305" t="s">
        <v>2825</v>
      </c>
      <c r="AH305">
        <v>2024</v>
      </c>
      <c r="AI305" t="s">
        <v>2835</v>
      </c>
    </row>
    <row r="306" spans="1:35">
      <c r="A306" t="s">
        <v>1018</v>
      </c>
      <c r="B306">
        <v>45357</v>
      </c>
      <c r="C306">
        <v>45364</v>
      </c>
      <c r="D306" t="s">
        <v>1019</v>
      </c>
      <c r="E306" t="s">
        <v>23</v>
      </c>
      <c r="F306" t="s">
        <v>24</v>
      </c>
      <c r="G306" t="s">
        <v>25</v>
      </c>
      <c r="H306" t="s">
        <v>122</v>
      </c>
      <c r="I306" t="s">
        <v>123</v>
      </c>
      <c r="J306" t="s">
        <v>41</v>
      </c>
      <c r="K306" t="s">
        <v>57</v>
      </c>
      <c r="L306" t="s">
        <v>1020</v>
      </c>
      <c r="M306" t="s">
        <v>59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32</v>
      </c>
      <c r="U306" t="s">
        <v>33</v>
      </c>
      <c r="V306" t="s">
        <v>2834</v>
      </c>
      <c r="W306" t="s">
        <v>2834</v>
      </c>
      <c r="X306" t="s">
        <v>2834</v>
      </c>
      <c r="Y306" t="s">
        <v>2834</v>
      </c>
      <c r="Z306">
        <v>7</v>
      </c>
      <c r="AA306" t="s">
        <v>2789</v>
      </c>
      <c r="AB306">
        <v>0.1</v>
      </c>
      <c r="AC306" t="s">
        <v>2794</v>
      </c>
      <c r="AD306">
        <v>12976.470000000001</v>
      </c>
      <c r="AE306">
        <v>2956.4900000000016</v>
      </c>
      <c r="AF306">
        <v>0.22783468847845378</v>
      </c>
      <c r="AG306" t="s">
        <v>2822</v>
      </c>
      <c r="AH306">
        <v>2024</v>
      </c>
      <c r="AI306" t="s">
        <v>2835</v>
      </c>
    </row>
    <row r="307" spans="1:35">
      <c r="A307" t="s">
        <v>1021</v>
      </c>
      <c r="B307">
        <v>45413</v>
      </c>
      <c r="C307">
        <v>45414</v>
      </c>
      <c r="D307" t="s">
        <v>1022</v>
      </c>
      <c r="E307" t="s">
        <v>62</v>
      </c>
      <c r="F307" t="s">
        <v>24</v>
      </c>
      <c r="G307" t="s">
        <v>38</v>
      </c>
      <c r="H307" t="s">
        <v>166</v>
      </c>
      <c r="I307" t="s">
        <v>167</v>
      </c>
      <c r="J307" t="s">
        <v>41</v>
      </c>
      <c r="K307" t="s">
        <v>66</v>
      </c>
      <c r="L307" t="s">
        <v>1023</v>
      </c>
      <c r="M307" t="s">
        <v>50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32</v>
      </c>
      <c r="U307" t="s">
        <v>68</v>
      </c>
      <c r="V307" t="s">
        <v>2834</v>
      </c>
      <c r="W307" t="s">
        <v>2834</v>
      </c>
      <c r="X307" t="s">
        <v>2834</v>
      </c>
      <c r="Y307" t="s">
        <v>2834</v>
      </c>
      <c r="Z307">
        <v>1</v>
      </c>
      <c r="AA307" t="s">
        <v>2789</v>
      </c>
      <c r="AB307">
        <v>0.55000000000000004</v>
      </c>
      <c r="AC307" t="s">
        <v>2794</v>
      </c>
      <c r="AD307">
        <v>7480.9080000000004</v>
      </c>
      <c r="AE307">
        <v>-2371.0019999999995</v>
      </c>
      <c r="AF307">
        <v>-0.31694040349112695</v>
      </c>
      <c r="AG307" t="s">
        <v>2824</v>
      </c>
      <c r="AH307">
        <v>2024</v>
      </c>
      <c r="AI307" t="s">
        <v>2835</v>
      </c>
    </row>
    <row r="308" spans="1:35">
      <c r="A308" t="s">
        <v>1024</v>
      </c>
      <c r="B308">
        <v>45708</v>
      </c>
      <c r="C308">
        <v>45711</v>
      </c>
      <c r="D308" t="s">
        <v>1025</v>
      </c>
      <c r="E308" t="s">
        <v>128</v>
      </c>
      <c r="F308" t="s">
        <v>24</v>
      </c>
      <c r="G308" t="s">
        <v>25</v>
      </c>
      <c r="H308" t="s">
        <v>26</v>
      </c>
      <c r="I308" t="s">
        <v>27</v>
      </c>
      <c r="J308" t="s">
        <v>74</v>
      </c>
      <c r="K308" t="s">
        <v>171</v>
      </c>
      <c r="L308" t="s">
        <v>1026</v>
      </c>
      <c r="M308" t="s">
        <v>31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32</v>
      </c>
      <c r="U308" t="s">
        <v>33</v>
      </c>
      <c r="V308" t="s">
        <v>2834</v>
      </c>
      <c r="W308" t="s">
        <v>2834</v>
      </c>
      <c r="X308" t="s">
        <v>2834</v>
      </c>
      <c r="Y308" t="s">
        <v>2834</v>
      </c>
      <c r="Z308">
        <v>3</v>
      </c>
      <c r="AA308" t="s">
        <v>2789</v>
      </c>
      <c r="AB308">
        <v>0</v>
      </c>
      <c r="AC308" t="s">
        <v>2794</v>
      </c>
      <c r="AD308">
        <v>14692.44</v>
      </c>
      <c r="AE308">
        <v>4610.25</v>
      </c>
      <c r="AF308">
        <v>0.31378382351740075</v>
      </c>
      <c r="AG308" t="s">
        <v>2821</v>
      </c>
      <c r="AH308">
        <v>2025</v>
      </c>
      <c r="AI308" t="s">
        <v>2835</v>
      </c>
    </row>
    <row r="309" spans="1:35">
      <c r="A309" t="s">
        <v>1027</v>
      </c>
      <c r="B309">
        <v>45850</v>
      </c>
      <c r="C309">
        <v>45857</v>
      </c>
      <c r="D309" t="s">
        <v>1028</v>
      </c>
      <c r="E309" t="s">
        <v>62</v>
      </c>
      <c r="F309" t="s">
        <v>90</v>
      </c>
      <c r="G309" t="s">
        <v>25</v>
      </c>
      <c r="H309" t="s">
        <v>136</v>
      </c>
      <c r="I309" t="s">
        <v>137</v>
      </c>
      <c r="J309" t="s">
        <v>41</v>
      </c>
      <c r="K309" t="s">
        <v>42</v>
      </c>
      <c r="L309" t="s">
        <v>1029</v>
      </c>
      <c r="M309" t="s">
        <v>50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111</v>
      </c>
      <c r="U309" t="s">
        <v>68</v>
      </c>
      <c r="V309" t="s">
        <v>2834</v>
      </c>
      <c r="W309" t="s">
        <v>2834</v>
      </c>
      <c r="X309" t="s">
        <v>2834</v>
      </c>
      <c r="Y309" t="s">
        <v>2834</v>
      </c>
      <c r="Z309">
        <v>7</v>
      </c>
      <c r="AA309" t="s">
        <v>2789</v>
      </c>
      <c r="AB309">
        <v>0.2</v>
      </c>
      <c r="AC309" t="s">
        <v>2794</v>
      </c>
      <c r="AD309">
        <v>29469.888000000003</v>
      </c>
      <c r="AE309">
        <v>10534.378000000004</v>
      </c>
      <c r="AF309">
        <v>0.3574624375905332</v>
      </c>
      <c r="AG309" t="s">
        <v>2826</v>
      </c>
      <c r="AH309">
        <v>2025</v>
      </c>
      <c r="AI309" t="s">
        <v>2835</v>
      </c>
    </row>
    <row r="310" spans="1:35">
      <c r="A310" t="s">
        <v>1030</v>
      </c>
      <c r="B310">
        <v>45821</v>
      </c>
      <c r="C310">
        <v>45827</v>
      </c>
      <c r="D310" t="s">
        <v>1031</v>
      </c>
      <c r="E310" t="s">
        <v>141</v>
      </c>
      <c r="F310" t="s">
        <v>24</v>
      </c>
      <c r="G310" t="s">
        <v>25</v>
      </c>
      <c r="H310" t="s">
        <v>26</v>
      </c>
      <c r="I310" t="s">
        <v>27</v>
      </c>
      <c r="J310" t="s">
        <v>41</v>
      </c>
      <c r="K310" t="s">
        <v>42</v>
      </c>
      <c r="L310" t="s">
        <v>1032</v>
      </c>
      <c r="M310" t="s">
        <v>50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32</v>
      </c>
      <c r="U310" t="s">
        <v>33</v>
      </c>
      <c r="V310" t="s">
        <v>2834</v>
      </c>
      <c r="W310" t="s">
        <v>2834</v>
      </c>
      <c r="X310" t="s">
        <v>2834</v>
      </c>
      <c r="Y310" t="s">
        <v>2834</v>
      </c>
      <c r="Z310">
        <v>6</v>
      </c>
      <c r="AA310" t="s">
        <v>2789</v>
      </c>
      <c r="AB310">
        <v>0.2</v>
      </c>
      <c r="AC310" t="s">
        <v>2794</v>
      </c>
      <c r="AD310">
        <v>2341.0240000000003</v>
      </c>
      <c r="AE310">
        <v>775.53400000000033</v>
      </c>
      <c r="AF310">
        <v>0.33127981601213835</v>
      </c>
      <c r="AG310" t="s">
        <v>2825</v>
      </c>
      <c r="AH310">
        <v>2025</v>
      </c>
      <c r="AI310" t="s">
        <v>2835</v>
      </c>
    </row>
    <row r="311" spans="1:35">
      <c r="A311" t="s">
        <v>1033</v>
      </c>
      <c r="B311">
        <v>45493</v>
      </c>
      <c r="C311">
        <v>45495</v>
      </c>
      <c r="D311" t="s">
        <v>1034</v>
      </c>
      <c r="E311" t="s">
        <v>62</v>
      </c>
      <c r="F311" t="s">
        <v>24</v>
      </c>
      <c r="G311" t="s">
        <v>54</v>
      </c>
      <c r="H311" t="s">
        <v>247</v>
      </c>
      <c r="I311" t="s">
        <v>248</v>
      </c>
      <c r="J311" t="s">
        <v>41</v>
      </c>
      <c r="K311" t="s">
        <v>42</v>
      </c>
      <c r="L311" t="s">
        <v>1035</v>
      </c>
      <c r="M311" t="s">
        <v>50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32</v>
      </c>
      <c r="U311" t="s">
        <v>68</v>
      </c>
      <c r="V311" t="s">
        <v>2834</v>
      </c>
      <c r="W311" t="s">
        <v>2834</v>
      </c>
      <c r="X311" t="s">
        <v>2834</v>
      </c>
      <c r="Y311" t="s">
        <v>2834</v>
      </c>
      <c r="Z311">
        <v>2</v>
      </c>
      <c r="AA311" t="s">
        <v>2789</v>
      </c>
      <c r="AB311">
        <v>0.1</v>
      </c>
      <c r="AC311" t="s">
        <v>2794</v>
      </c>
      <c r="AD311">
        <v>12982.599</v>
      </c>
      <c r="AE311">
        <v>5736.2390000000005</v>
      </c>
      <c r="AF311">
        <v>0.441840574448922</v>
      </c>
      <c r="AG311" t="s">
        <v>2826</v>
      </c>
      <c r="AH311">
        <v>2024</v>
      </c>
      <c r="AI311" t="s">
        <v>2835</v>
      </c>
    </row>
    <row r="312" spans="1:35">
      <c r="A312" t="s">
        <v>1036</v>
      </c>
      <c r="B312">
        <v>45477</v>
      </c>
      <c r="C312">
        <v>45481</v>
      </c>
      <c r="D312" t="s">
        <v>1037</v>
      </c>
      <c r="E312" t="s">
        <v>141</v>
      </c>
      <c r="F312" t="s">
        <v>37</v>
      </c>
      <c r="G312" t="s">
        <v>54</v>
      </c>
      <c r="H312" t="s">
        <v>247</v>
      </c>
      <c r="I312" t="s">
        <v>248</v>
      </c>
      <c r="J312" t="s">
        <v>74</v>
      </c>
      <c r="K312" t="s">
        <v>274</v>
      </c>
      <c r="L312" t="s">
        <v>1038</v>
      </c>
      <c r="M312" t="s">
        <v>50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32</v>
      </c>
      <c r="U312" t="s">
        <v>33</v>
      </c>
      <c r="V312" t="s">
        <v>2834</v>
      </c>
      <c r="W312" t="s">
        <v>2834</v>
      </c>
      <c r="X312" t="s">
        <v>2834</v>
      </c>
      <c r="Y312" t="s">
        <v>2834</v>
      </c>
      <c r="Z312">
        <v>4</v>
      </c>
      <c r="AA312" t="s">
        <v>2789</v>
      </c>
      <c r="AB312">
        <v>0</v>
      </c>
      <c r="AC312" t="s">
        <v>2794</v>
      </c>
      <c r="AD312">
        <v>16274</v>
      </c>
      <c r="AE312">
        <v>6849.75</v>
      </c>
      <c r="AF312">
        <v>0.42090143787636719</v>
      </c>
      <c r="AG312" t="s">
        <v>2826</v>
      </c>
      <c r="AH312">
        <v>2024</v>
      </c>
      <c r="AI312" t="s">
        <v>2835</v>
      </c>
    </row>
    <row r="313" spans="1:35">
      <c r="A313" t="s">
        <v>1039</v>
      </c>
      <c r="B313">
        <v>45409</v>
      </c>
      <c r="C313">
        <v>45414</v>
      </c>
      <c r="D313" t="s">
        <v>1040</v>
      </c>
      <c r="E313" t="s">
        <v>36</v>
      </c>
      <c r="F313" t="s">
        <v>90</v>
      </c>
      <c r="G313" t="s">
        <v>54</v>
      </c>
      <c r="H313" t="s">
        <v>175</v>
      </c>
      <c r="I313" t="s">
        <v>176</v>
      </c>
      <c r="J313" t="s">
        <v>28</v>
      </c>
      <c r="K313" t="s">
        <v>153</v>
      </c>
      <c r="L313" t="s">
        <v>1041</v>
      </c>
      <c r="M313" t="s">
        <v>31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32</v>
      </c>
      <c r="U313" t="s">
        <v>33</v>
      </c>
      <c r="V313" t="s">
        <v>2834</v>
      </c>
      <c r="W313" t="s">
        <v>2834</v>
      </c>
      <c r="X313" t="s">
        <v>2834</v>
      </c>
      <c r="Y313" t="s">
        <v>2834</v>
      </c>
      <c r="Z313">
        <v>5</v>
      </c>
      <c r="AA313" t="s">
        <v>2789</v>
      </c>
      <c r="AB313">
        <v>0.1</v>
      </c>
      <c r="AC313" t="s">
        <v>2794</v>
      </c>
      <c r="AD313">
        <v>2493.1799999999998</v>
      </c>
      <c r="AE313">
        <v>729.17999999999984</v>
      </c>
      <c r="AF313">
        <v>0.29246985777200196</v>
      </c>
      <c r="AG313" t="s">
        <v>2823</v>
      </c>
      <c r="AH313">
        <v>2024</v>
      </c>
      <c r="AI313" t="s">
        <v>2835</v>
      </c>
    </row>
    <row r="314" spans="1:35">
      <c r="A314" t="s">
        <v>1042</v>
      </c>
      <c r="B314">
        <v>45504</v>
      </c>
      <c r="C314">
        <v>45508</v>
      </c>
      <c r="D314" t="s">
        <v>1043</v>
      </c>
      <c r="E314" t="s">
        <v>23</v>
      </c>
      <c r="F314" t="s">
        <v>37</v>
      </c>
      <c r="G314" t="s">
        <v>38</v>
      </c>
      <c r="H314" t="s">
        <v>166</v>
      </c>
      <c r="I314" t="s">
        <v>167</v>
      </c>
      <c r="J314" t="s">
        <v>74</v>
      </c>
      <c r="K314" t="s">
        <v>171</v>
      </c>
      <c r="L314" t="s">
        <v>1044</v>
      </c>
      <c r="M314" t="s">
        <v>59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32</v>
      </c>
      <c r="U314" t="s">
        <v>68</v>
      </c>
      <c r="V314" t="s">
        <v>2834</v>
      </c>
      <c r="W314" t="s">
        <v>2834</v>
      </c>
      <c r="X314" t="s">
        <v>2834</v>
      </c>
      <c r="Y314" t="s">
        <v>2834</v>
      </c>
      <c r="Z314">
        <v>4</v>
      </c>
      <c r="AA314" t="s">
        <v>2789</v>
      </c>
      <c r="AB314">
        <v>0</v>
      </c>
      <c r="AC314" t="s">
        <v>2796</v>
      </c>
      <c r="AD314">
        <v>20917.919999999998</v>
      </c>
      <c r="AE314">
        <v>10870.589999999998</v>
      </c>
      <c r="AF314">
        <v>0.5196783427797792</v>
      </c>
      <c r="AG314" t="s">
        <v>2826</v>
      </c>
      <c r="AH314">
        <v>2024</v>
      </c>
      <c r="AI314" t="s">
        <v>2838</v>
      </c>
    </row>
    <row r="315" spans="1:35">
      <c r="A315" t="s">
        <v>1045</v>
      </c>
      <c r="B315">
        <v>45807</v>
      </c>
      <c r="C315">
        <v>45808</v>
      </c>
      <c r="D315" t="s">
        <v>1046</v>
      </c>
      <c r="E315" t="s">
        <v>118</v>
      </c>
      <c r="F315" t="s">
        <v>90</v>
      </c>
      <c r="G315" t="s">
        <v>25</v>
      </c>
      <c r="H315" t="s">
        <v>136</v>
      </c>
      <c r="I315" t="s">
        <v>137</v>
      </c>
      <c r="J315" t="s">
        <v>74</v>
      </c>
      <c r="K315" t="s">
        <v>171</v>
      </c>
      <c r="L315" t="s">
        <v>1047</v>
      </c>
      <c r="M315" t="s">
        <v>50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102</v>
      </c>
      <c r="U315" t="s">
        <v>68</v>
      </c>
      <c r="V315" t="s">
        <v>2834</v>
      </c>
      <c r="W315" t="s">
        <v>2834</v>
      </c>
      <c r="X315" t="s">
        <v>2834</v>
      </c>
      <c r="Y315" t="s">
        <v>2834</v>
      </c>
      <c r="Z315">
        <v>1</v>
      </c>
      <c r="AA315" t="s">
        <v>2789</v>
      </c>
      <c r="AB315">
        <v>0.25</v>
      </c>
      <c r="AC315" t="s">
        <v>2794</v>
      </c>
      <c r="AD315">
        <v>12488.579999999998</v>
      </c>
      <c r="AE315">
        <v>1771.1799999999985</v>
      </c>
      <c r="AF315">
        <v>0.14182397037933847</v>
      </c>
      <c r="AG315" t="s">
        <v>2824</v>
      </c>
      <c r="AH315">
        <v>2025</v>
      </c>
      <c r="AI315" t="s">
        <v>2835</v>
      </c>
    </row>
    <row r="316" spans="1:35">
      <c r="A316" t="s">
        <v>1048</v>
      </c>
      <c r="B316">
        <v>45795</v>
      </c>
      <c r="C316">
        <v>45797</v>
      </c>
      <c r="D316" t="s">
        <v>1049</v>
      </c>
      <c r="E316" t="s">
        <v>47</v>
      </c>
      <c r="F316" t="s">
        <v>90</v>
      </c>
      <c r="G316" t="s">
        <v>63</v>
      </c>
      <c r="H316" t="s">
        <v>72</v>
      </c>
      <c r="I316" t="s">
        <v>73</v>
      </c>
      <c r="J316" t="s">
        <v>28</v>
      </c>
      <c r="K316" t="s">
        <v>91</v>
      </c>
      <c r="L316" t="s">
        <v>1050</v>
      </c>
      <c r="M316" t="s">
        <v>59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155</v>
      </c>
      <c r="U316" t="s">
        <v>103</v>
      </c>
      <c r="V316" t="s">
        <v>2834</v>
      </c>
      <c r="W316" t="s">
        <v>2834</v>
      </c>
      <c r="X316" t="s">
        <v>2834</v>
      </c>
      <c r="Y316" t="s">
        <v>2834</v>
      </c>
      <c r="Z316">
        <v>2</v>
      </c>
      <c r="AA316" t="s">
        <v>2790</v>
      </c>
      <c r="AB316">
        <v>0.15</v>
      </c>
      <c r="AC316" t="s">
        <v>2794</v>
      </c>
      <c r="AD316">
        <v>6485.3639999999996</v>
      </c>
      <c r="AE316">
        <v>1109.1939999999995</v>
      </c>
      <c r="AF316">
        <v>0.17103033846673826</v>
      </c>
      <c r="AG316" t="s">
        <v>2824</v>
      </c>
      <c r="AH316">
        <v>2025</v>
      </c>
      <c r="AI316" t="s">
        <v>2836</v>
      </c>
    </row>
    <row r="317" spans="1:35">
      <c r="A317" t="s">
        <v>1051</v>
      </c>
      <c r="B317">
        <v>45475</v>
      </c>
      <c r="C317">
        <v>45481</v>
      </c>
      <c r="D317" t="s">
        <v>1052</v>
      </c>
      <c r="E317" t="s">
        <v>141</v>
      </c>
      <c r="F317" t="s">
        <v>24</v>
      </c>
      <c r="G317" t="s">
        <v>25</v>
      </c>
      <c r="H317" t="s">
        <v>350</v>
      </c>
      <c r="I317" t="s">
        <v>351</v>
      </c>
      <c r="J317" t="s">
        <v>28</v>
      </c>
      <c r="K317" t="s">
        <v>29</v>
      </c>
      <c r="L317" t="s">
        <v>1053</v>
      </c>
      <c r="M317" t="s">
        <v>59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111</v>
      </c>
      <c r="U317" t="s">
        <v>103</v>
      </c>
      <c r="V317" t="s">
        <v>2834</v>
      </c>
      <c r="W317" t="s">
        <v>2834</v>
      </c>
      <c r="X317" t="s">
        <v>2834</v>
      </c>
      <c r="Y317" t="s">
        <v>2834</v>
      </c>
      <c r="Z317">
        <v>6</v>
      </c>
      <c r="AA317" t="s">
        <v>2789</v>
      </c>
      <c r="AB317">
        <v>0.05</v>
      </c>
      <c r="AC317" t="s">
        <v>2794</v>
      </c>
      <c r="AD317">
        <v>29500.920000000002</v>
      </c>
      <c r="AE317">
        <v>11511.240000000002</v>
      </c>
      <c r="AF317">
        <v>0.39019935649464493</v>
      </c>
      <c r="AG317" t="s">
        <v>2826</v>
      </c>
      <c r="AH317">
        <v>2024</v>
      </c>
      <c r="AI317" t="s">
        <v>2835</v>
      </c>
    </row>
    <row r="318" spans="1:35">
      <c r="A318" t="s">
        <v>1054</v>
      </c>
      <c r="B318">
        <v>45338</v>
      </c>
      <c r="C318">
        <v>45340</v>
      </c>
      <c r="D318" t="s">
        <v>1055</v>
      </c>
      <c r="E318" t="s">
        <v>23</v>
      </c>
      <c r="F318" t="s">
        <v>90</v>
      </c>
      <c r="G318" t="s">
        <v>25</v>
      </c>
      <c r="H318" t="s">
        <v>122</v>
      </c>
      <c r="I318" t="s">
        <v>123</v>
      </c>
      <c r="J318" t="s">
        <v>28</v>
      </c>
      <c r="K318" t="s">
        <v>91</v>
      </c>
      <c r="L318" t="s">
        <v>1056</v>
      </c>
      <c r="M318" t="s">
        <v>59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32</v>
      </c>
      <c r="U318" t="s">
        <v>68</v>
      </c>
      <c r="V318" t="s">
        <v>2834</v>
      </c>
      <c r="W318" t="s">
        <v>2834</v>
      </c>
      <c r="X318" t="s">
        <v>2834</v>
      </c>
      <c r="Y318" t="s">
        <v>2834</v>
      </c>
      <c r="Z318">
        <v>2</v>
      </c>
      <c r="AA318" t="s">
        <v>2789</v>
      </c>
      <c r="AB318">
        <v>0.2</v>
      </c>
      <c r="AC318" t="s">
        <v>2794</v>
      </c>
      <c r="AD318">
        <v>3116.0480000000002</v>
      </c>
      <c r="AE318">
        <v>1159.4180000000001</v>
      </c>
      <c r="AF318">
        <v>0.37207963420332424</v>
      </c>
      <c r="AG318" t="s">
        <v>2821</v>
      </c>
      <c r="AH318">
        <v>2024</v>
      </c>
      <c r="AI318" t="s">
        <v>2835</v>
      </c>
    </row>
    <row r="319" spans="1:35">
      <c r="A319" t="s">
        <v>1057</v>
      </c>
      <c r="B319">
        <v>45898</v>
      </c>
      <c r="C319">
        <v>45904</v>
      </c>
      <c r="D319" t="s">
        <v>1058</v>
      </c>
      <c r="E319" t="s">
        <v>79</v>
      </c>
      <c r="F319" t="s">
        <v>90</v>
      </c>
      <c r="G319" t="s">
        <v>54</v>
      </c>
      <c r="H319" t="s">
        <v>185</v>
      </c>
      <c r="I319" t="s">
        <v>186</v>
      </c>
      <c r="J319" t="s">
        <v>41</v>
      </c>
      <c r="K319" t="s">
        <v>42</v>
      </c>
      <c r="L319" t="s">
        <v>1059</v>
      </c>
      <c r="M319" t="s">
        <v>50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32</v>
      </c>
      <c r="U319" t="s">
        <v>33</v>
      </c>
      <c r="V319" t="s">
        <v>2834</v>
      </c>
      <c r="W319" t="s">
        <v>2834</v>
      </c>
      <c r="X319" t="s">
        <v>2834</v>
      </c>
      <c r="Y319" t="s">
        <v>2834</v>
      </c>
      <c r="Z319">
        <v>6</v>
      </c>
      <c r="AA319" t="s">
        <v>2789</v>
      </c>
      <c r="AB319">
        <v>0.15</v>
      </c>
      <c r="AC319" t="s">
        <v>2794</v>
      </c>
      <c r="AD319">
        <v>22926.820499999998</v>
      </c>
      <c r="AE319">
        <v>8305.2304999999978</v>
      </c>
      <c r="AF319">
        <v>0.36224955396671765</v>
      </c>
      <c r="AG319" t="s">
        <v>2827</v>
      </c>
      <c r="AH319">
        <v>2025</v>
      </c>
      <c r="AI319" t="s">
        <v>2835</v>
      </c>
    </row>
    <row r="320" spans="1:35">
      <c r="A320" t="s">
        <v>1060</v>
      </c>
      <c r="B320">
        <v>45407</v>
      </c>
      <c r="C320">
        <v>45412</v>
      </c>
      <c r="D320" t="s">
        <v>1061</v>
      </c>
      <c r="E320" t="s">
        <v>36</v>
      </c>
      <c r="F320" t="s">
        <v>37</v>
      </c>
      <c r="G320" t="s">
        <v>54</v>
      </c>
      <c r="H320" t="s">
        <v>175</v>
      </c>
      <c r="I320" t="s">
        <v>176</v>
      </c>
      <c r="J320" t="s">
        <v>74</v>
      </c>
      <c r="K320" t="s">
        <v>171</v>
      </c>
      <c r="L320" t="s">
        <v>1062</v>
      </c>
      <c r="M320" t="s">
        <v>59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32</v>
      </c>
      <c r="U320" t="s">
        <v>33</v>
      </c>
      <c r="V320" t="s">
        <v>2834</v>
      </c>
      <c r="W320" t="s">
        <v>2834</v>
      </c>
      <c r="X320" t="s">
        <v>2834</v>
      </c>
      <c r="Y320" t="s">
        <v>2834</v>
      </c>
      <c r="Z320">
        <v>5</v>
      </c>
      <c r="AA320" t="s">
        <v>2789</v>
      </c>
      <c r="AB320">
        <v>0.1</v>
      </c>
      <c r="AC320" t="s">
        <v>2794</v>
      </c>
      <c r="AD320">
        <v>11203.542000000001</v>
      </c>
      <c r="AE320">
        <v>2750.612000000001</v>
      </c>
      <c r="AF320">
        <v>0.24551271374713468</v>
      </c>
      <c r="AG320" t="s">
        <v>2823</v>
      </c>
      <c r="AH320">
        <v>2024</v>
      </c>
      <c r="AI320" t="s">
        <v>2835</v>
      </c>
    </row>
    <row r="321" spans="1:35">
      <c r="A321" t="s">
        <v>1063</v>
      </c>
      <c r="B321">
        <v>45525</v>
      </c>
      <c r="C321">
        <v>45529</v>
      </c>
      <c r="D321" t="s">
        <v>1064</v>
      </c>
      <c r="E321" t="s">
        <v>162</v>
      </c>
      <c r="F321" t="s">
        <v>24</v>
      </c>
      <c r="G321" t="s">
        <v>63</v>
      </c>
      <c r="H321" t="s">
        <v>180</v>
      </c>
      <c r="I321" t="s">
        <v>181</v>
      </c>
      <c r="J321" t="s">
        <v>28</v>
      </c>
      <c r="K321" t="s">
        <v>153</v>
      </c>
      <c r="L321" t="s">
        <v>1065</v>
      </c>
      <c r="M321" t="s">
        <v>50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32</v>
      </c>
      <c r="U321" t="s">
        <v>33</v>
      </c>
      <c r="V321" t="s">
        <v>2834</v>
      </c>
      <c r="W321" t="s">
        <v>2834</v>
      </c>
      <c r="X321" t="s">
        <v>2834</v>
      </c>
      <c r="Y321" t="s">
        <v>2834</v>
      </c>
      <c r="Z321">
        <v>4</v>
      </c>
      <c r="AA321" t="s">
        <v>2789</v>
      </c>
      <c r="AB321">
        <v>0</v>
      </c>
      <c r="AC321" t="s">
        <v>2794</v>
      </c>
      <c r="AD321">
        <v>270.27999999999997</v>
      </c>
      <c r="AE321">
        <v>113.93999999999997</v>
      </c>
      <c r="AF321">
        <v>0.42156282373834536</v>
      </c>
      <c r="AG321" t="s">
        <v>2827</v>
      </c>
      <c r="AH321">
        <v>2024</v>
      </c>
      <c r="AI321" t="s">
        <v>2835</v>
      </c>
    </row>
    <row r="322" spans="1:35">
      <c r="A322" t="s">
        <v>1066</v>
      </c>
      <c r="B322">
        <v>45630</v>
      </c>
      <c r="C322">
        <v>45632</v>
      </c>
      <c r="D322" t="s">
        <v>1067</v>
      </c>
      <c r="E322" t="s">
        <v>128</v>
      </c>
      <c r="F322" t="s">
        <v>95</v>
      </c>
      <c r="G322" t="s">
        <v>38</v>
      </c>
      <c r="H322" t="s">
        <v>99</v>
      </c>
      <c r="I322" t="s">
        <v>100</v>
      </c>
      <c r="J322" t="s">
        <v>28</v>
      </c>
      <c r="K322" t="s">
        <v>48</v>
      </c>
      <c r="L322" t="s">
        <v>1068</v>
      </c>
      <c r="M322" t="s">
        <v>31</v>
      </c>
      <c r="N322">
        <v>3</v>
      </c>
      <c r="O322">
        <v>876.14</v>
      </c>
      <c r="P322" t="s">
        <v>463</v>
      </c>
      <c r="Q322">
        <v>2628.42</v>
      </c>
      <c r="R322">
        <v>1541.54</v>
      </c>
      <c r="S322">
        <v>1086.8800000000001</v>
      </c>
      <c r="T322" t="s">
        <v>111</v>
      </c>
      <c r="U322" t="s">
        <v>103</v>
      </c>
      <c r="V322" t="s">
        <v>2834</v>
      </c>
      <c r="W322" t="s">
        <v>2834</v>
      </c>
      <c r="X322" t="s">
        <v>2834</v>
      </c>
      <c r="Y322" t="s">
        <v>2834</v>
      </c>
      <c r="Z322">
        <v>2</v>
      </c>
      <c r="AA322" t="s">
        <v>2789</v>
      </c>
      <c r="AB322">
        <v>0.7</v>
      </c>
      <c r="AC322" t="s">
        <v>2797</v>
      </c>
      <c r="AD322">
        <v>788.52600000000018</v>
      </c>
      <c r="AE322">
        <v>-753.01399999999978</v>
      </c>
      <c r="AF322">
        <v>-0.95496407220560842</v>
      </c>
      <c r="AG322" t="s">
        <v>2831</v>
      </c>
      <c r="AH322">
        <v>2024</v>
      </c>
      <c r="AI322" t="s">
        <v>2836</v>
      </c>
    </row>
    <row r="323" spans="1:35">
      <c r="A323" t="s">
        <v>1069</v>
      </c>
      <c r="B323">
        <v>45466</v>
      </c>
      <c r="C323">
        <v>45473</v>
      </c>
      <c r="D323" t="s">
        <v>1070</v>
      </c>
      <c r="E323" t="s">
        <v>79</v>
      </c>
      <c r="F323" t="s">
        <v>37</v>
      </c>
      <c r="G323" t="s">
        <v>63</v>
      </c>
      <c r="H323" t="s">
        <v>190</v>
      </c>
      <c r="I323" t="s">
        <v>191</v>
      </c>
      <c r="J323" t="s">
        <v>74</v>
      </c>
      <c r="K323" t="s">
        <v>75</v>
      </c>
      <c r="L323" t="s">
        <v>1071</v>
      </c>
      <c r="M323" t="s">
        <v>44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155</v>
      </c>
      <c r="U323" t="s">
        <v>68</v>
      </c>
      <c r="V323" t="s">
        <v>2834</v>
      </c>
      <c r="W323" t="s">
        <v>2834</v>
      </c>
      <c r="X323" t="s">
        <v>2834</v>
      </c>
      <c r="Y323" t="s">
        <v>2834</v>
      </c>
      <c r="Z323">
        <v>7</v>
      </c>
      <c r="AA323" t="s">
        <v>2789</v>
      </c>
      <c r="AB323">
        <v>0</v>
      </c>
      <c r="AC323" t="s">
        <v>2794</v>
      </c>
      <c r="AD323">
        <v>2699.28</v>
      </c>
      <c r="AE323">
        <v>939.52000000000021</v>
      </c>
      <c r="AF323">
        <v>0.34806318722029583</v>
      </c>
      <c r="AG323" t="s">
        <v>2825</v>
      </c>
      <c r="AH323">
        <v>2024</v>
      </c>
      <c r="AI323" t="s">
        <v>2835</v>
      </c>
    </row>
    <row r="324" spans="1:35">
      <c r="A324" t="s">
        <v>1072</v>
      </c>
      <c r="B324">
        <v>45608</v>
      </c>
      <c r="C324">
        <v>45608</v>
      </c>
      <c r="D324" t="s">
        <v>1073</v>
      </c>
      <c r="E324" t="s">
        <v>47</v>
      </c>
      <c r="F324" t="s">
        <v>24</v>
      </c>
      <c r="G324" t="s">
        <v>25</v>
      </c>
      <c r="H324" t="s">
        <v>136</v>
      </c>
      <c r="I324" t="s">
        <v>137</v>
      </c>
      <c r="J324" t="s">
        <v>74</v>
      </c>
      <c r="K324" t="s">
        <v>171</v>
      </c>
      <c r="L324" t="s">
        <v>1074</v>
      </c>
      <c r="M324" t="s">
        <v>31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32</v>
      </c>
      <c r="U324" t="s">
        <v>33</v>
      </c>
      <c r="V324" t="s">
        <v>2834</v>
      </c>
      <c r="W324" t="s">
        <v>2834</v>
      </c>
      <c r="X324" t="s">
        <v>2834</v>
      </c>
      <c r="Y324" t="s">
        <v>2834</v>
      </c>
      <c r="Z324">
        <v>0</v>
      </c>
      <c r="AA324" t="s">
        <v>2789</v>
      </c>
      <c r="AB324">
        <v>0.15</v>
      </c>
      <c r="AC324" t="s">
        <v>2794</v>
      </c>
      <c r="AD324">
        <v>6984.3480000000009</v>
      </c>
      <c r="AE324">
        <v>2960.7180000000008</v>
      </c>
      <c r="AF324">
        <v>0.42390757161584736</v>
      </c>
      <c r="AG324" t="s">
        <v>2830</v>
      </c>
      <c r="AH324">
        <v>2024</v>
      </c>
      <c r="AI324" t="s">
        <v>2835</v>
      </c>
    </row>
    <row r="325" spans="1:35">
      <c r="A325" t="s">
        <v>1075</v>
      </c>
      <c r="B325">
        <v>45347</v>
      </c>
      <c r="C325">
        <v>45351</v>
      </c>
      <c r="D325" t="s">
        <v>1076</v>
      </c>
      <c r="E325" t="s">
        <v>47</v>
      </c>
      <c r="F325" t="s">
        <v>37</v>
      </c>
      <c r="G325" t="s">
        <v>63</v>
      </c>
      <c r="H325" t="s">
        <v>190</v>
      </c>
      <c r="I325" t="s">
        <v>191</v>
      </c>
      <c r="J325" t="s">
        <v>41</v>
      </c>
      <c r="K325" t="s">
        <v>57</v>
      </c>
      <c r="L325" t="s">
        <v>150</v>
      </c>
      <c r="M325" t="s">
        <v>59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32</v>
      </c>
      <c r="U325" t="s">
        <v>33</v>
      </c>
      <c r="V325" t="s">
        <v>2834</v>
      </c>
      <c r="W325" t="s">
        <v>2834</v>
      </c>
      <c r="X325" t="s">
        <v>2834</v>
      </c>
      <c r="Y325" t="s">
        <v>2834</v>
      </c>
      <c r="Z325">
        <v>4</v>
      </c>
      <c r="AA325" t="s">
        <v>2789</v>
      </c>
      <c r="AB325">
        <v>0.15</v>
      </c>
      <c r="AC325" t="s">
        <v>2794</v>
      </c>
      <c r="AD325">
        <v>10185.669</v>
      </c>
      <c r="AE325">
        <v>3706.3589999999995</v>
      </c>
      <c r="AF325">
        <v>0.36387978050337189</v>
      </c>
      <c r="AG325" t="s">
        <v>2821</v>
      </c>
      <c r="AH325">
        <v>2024</v>
      </c>
      <c r="AI325" t="s">
        <v>2835</v>
      </c>
    </row>
    <row r="326" spans="1:35">
      <c r="A326" t="s">
        <v>1077</v>
      </c>
      <c r="B326">
        <v>45869</v>
      </c>
      <c r="C326">
        <v>45871</v>
      </c>
      <c r="D326" t="s">
        <v>1078</v>
      </c>
      <c r="E326" t="s">
        <v>141</v>
      </c>
      <c r="F326" t="s">
        <v>95</v>
      </c>
      <c r="G326" t="s">
        <v>54</v>
      </c>
      <c r="H326" t="s">
        <v>84</v>
      </c>
      <c r="I326" t="s">
        <v>85</v>
      </c>
      <c r="J326" t="s">
        <v>28</v>
      </c>
      <c r="K326" t="s">
        <v>91</v>
      </c>
      <c r="L326" t="s">
        <v>1079</v>
      </c>
      <c r="M326" t="s">
        <v>44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32</v>
      </c>
      <c r="U326" t="s">
        <v>103</v>
      </c>
      <c r="V326" t="s">
        <v>2834</v>
      </c>
      <c r="W326" t="s">
        <v>2834</v>
      </c>
      <c r="X326" t="s">
        <v>2834</v>
      </c>
      <c r="Y326" t="s">
        <v>2834</v>
      </c>
      <c r="Z326">
        <v>2</v>
      </c>
      <c r="AA326" t="s">
        <v>2789</v>
      </c>
      <c r="AB326">
        <v>0.15</v>
      </c>
      <c r="AC326" t="s">
        <v>2794</v>
      </c>
      <c r="AD326">
        <v>1655.6980000000001</v>
      </c>
      <c r="AE326">
        <v>300.89800000000014</v>
      </c>
      <c r="AF326">
        <v>0.1817348332848141</v>
      </c>
      <c r="AG326" t="s">
        <v>2826</v>
      </c>
      <c r="AH326">
        <v>2025</v>
      </c>
      <c r="AI326" t="s">
        <v>2835</v>
      </c>
    </row>
    <row r="327" spans="1:35">
      <c r="A327" t="s">
        <v>1080</v>
      </c>
      <c r="B327">
        <v>45916</v>
      </c>
      <c r="C327">
        <v>45922</v>
      </c>
      <c r="D327" t="s">
        <v>1081</v>
      </c>
      <c r="E327" t="s">
        <v>132</v>
      </c>
      <c r="F327" t="s">
        <v>95</v>
      </c>
      <c r="G327" t="s">
        <v>38</v>
      </c>
      <c r="H327" t="s">
        <v>99</v>
      </c>
      <c r="I327" t="s">
        <v>100</v>
      </c>
      <c r="J327" t="s">
        <v>74</v>
      </c>
      <c r="K327" t="s">
        <v>80</v>
      </c>
      <c r="L327" t="s">
        <v>1082</v>
      </c>
      <c r="M327" t="s">
        <v>31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32</v>
      </c>
      <c r="U327" t="s">
        <v>33</v>
      </c>
      <c r="V327" t="s">
        <v>2834</v>
      </c>
      <c r="W327" t="s">
        <v>2834</v>
      </c>
      <c r="X327" t="s">
        <v>2834</v>
      </c>
      <c r="Y327" t="s">
        <v>2834</v>
      </c>
      <c r="Z327">
        <v>6</v>
      </c>
      <c r="AA327" t="s">
        <v>2789</v>
      </c>
      <c r="AB327">
        <v>0.15</v>
      </c>
      <c r="AC327" t="s">
        <v>2794</v>
      </c>
      <c r="AD327">
        <v>15602.6</v>
      </c>
      <c r="AE327">
        <v>3694.08</v>
      </c>
      <c r="AF327">
        <v>0.236760539910015</v>
      </c>
      <c r="AG327" t="s">
        <v>2828</v>
      </c>
      <c r="AH327">
        <v>2025</v>
      </c>
      <c r="AI327" t="s">
        <v>2835</v>
      </c>
    </row>
    <row r="328" spans="1:35">
      <c r="A328" t="s">
        <v>1083</v>
      </c>
      <c r="B328">
        <v>45860</v>
      </c>
      <c r="C328">
        <v>45860</v>
      </c>
      <c r="D328" t="s">
        <v>1084</v>
      </c>
      <c r="E328" t="s">
        <v>132</v>
      </c>
      <c r="F328" t="s">
        <v>90</v>
      </c>
      <c r="G328" t="s">
        <v>38</v>
      </c>
      <c r="H328" t="s">
        <v>228</v>
      </c>
      <c r="I328" t="s">
        <v>229</v>
      </c>
      <c r="J328" t="s">
        <v>41</v>
      </c>
      <c r="K328" t="s">
        <v>57</v>
      </c>
      <c r="L328" t="s">
        <v>1085</v>
      </c>
      <c r="M328" t="s">
        <v>44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32</v>
      </c>
      <c r="U328" t="s">
        <v>33</v>
      </c>
      <c r="V328" t="s">
        <v>2834</v>
      </c>
      <c r="W328" t="s">
        <v>2834</v>
      </c>
      <c r="X328" t="s">
        <v>2834</v>
      </c>
      <c r="Y328" t="s">
        <v>2834</v>
      </c>
      <c r="Z328">
        <v>0</v>
      </c>
      <c r="AA328" t="s">
        <v>2789</v>
      </c>
      <c r="AB328">
        <v>0.05</v>
      </c>
      <c r="AC328" t="s">
        <v>2794</v>
      </c>
      <c r="AD328">
        <v>15138.487499999999</v>
      </c>
      <c r="AE328">
        <v>3902.7674999999999</v>
      </c>
      <c r="AF328">
        <v>0.25780432160082045</v>
      </c>
      <c r="AG328" t="s">
        <v>2826</v>
      </c>
      <c r="AH328">
        <v>2025</v>
      </c>
      <c r="AI328" t="s">
        <v>2835</v>
      </c>
    </row>
    <row r="329" spans="1:35">
      <c r="A329" t="s">
        <v>1086</v>
      </c>
      <c r="B329">
        <v>45497</v>
      </c>
      <c r="C329">
        <v>45500</v>
      </c>
      <c r="D329" t="s">
        <v>1087</v>
      </c>
      <c r="E329" t="s">
        <v>47</v>
      </c>
      <c r="F329" t="s">
        <v>24</v>
      </c>
      <c r="G329" t="s">
        <v>63</v>
      </c>
      <c r="H329" t="s">
        <v>26</v>
      </c>
      <c r="I329" t="s">
        <v>109</v>
      </c>
      <c r="J329" t="s">
        <v>74</v>
      </c>
      <c r="K329" t="s">
        <v>75</v>
      </c>
      <c r="L329" t="s">
        <v>1088</v>
      </c>
      <c r="M329" t="s">
        <v>31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111</v>
      </c>
      <c r="U329" t="s">
        <v>68</v>
      </c>
      <c r="V329" t="s">
        <v>2834</v>
      </c>
      <c r="W329" t="s">
        <v>2834</v>
      </c>
      <c r="X329" t="s">
        <v>2834</v>
      </c>
      <c r="Y329" t="s">
        <v>2834</v>
      </c>
      <c r="Z329">
        <v>3</v>
      </c>
      <c r="AA329" t="s">
        <v>2789</v>
      </c>
      <c r="AB329">
        <v>0.2</v>
      </c>
      <c r="AC329" t="s">
        <v>2794</v>
      </c>
      <c r="AD329">
        <v>4402.92</v>
      </c>
      <c r="AE329">
        <v>1408.98</v>
      </c>
      <c r="AF329">
        <v>0.32001035676323897</v>
      </c>
      <c r="AG329" t="s">
        <v>2826</v>
      </c>
      <c r="AH329">
        <v>2024</v>
      </c>
      <c r="AI329" t="s">
        <v>2835</v>
      </c>
    </row>
    <row r="330" spans="1:35">
      <c r="A330" t="s">
        <v>1089</v>
      </c>
      <c r="B330">
        <v>45806</v>
      </c>
      <c r="C330">
        <v>45812</v>
      </c>
      <c r="D330" t="s">
        <v>1090</v>
      </c>
      <c r="E330" t="s">
        <v>162</v>
      </c>
      <c r="F330" t="s">
        <v>24</v>
      </c>
      <c r="G330" t="s">
        <v>63</v>
      </c>
      <c r="H330" t="s">
        <v>64</v>
      </c>
      <c r="I330" t="s">
        <v>65</v>
      </c>
      <c r="J330" t="s">
        <v>28</v>
      </c>
      <c r="K330" t="s">
        <v>124</v>
      </c>
      <c r="L330" t="s">
        <v>1091</v>
      </c>
      <c r="M330" t="s">
        <v>50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32</v>
      </c>
      <c r="U330" t="s">
        <v>33</v>
      </c>
      <c r="V330" t="s">
        <v>2834</v>
      </c>
      <c r="W330" t="s">
        <v>2834</v>
      </c>
      <c r="X330" t="s">
        <v>2834</v>
      </c>
      <c r="Y330" t="s">
        <v>2834</v>
      </c>
      <c r="Z330">
        <v>6</v>
      </c>
      <c r="AA330" t="s">
        <v>2789</v>
      </c>
      <c r="AB330">
        <v>0</v>
      </c>
      <c r="AC330" t="s">
        <v>2794</v>
      </c>
      <c r="AD330">
        <v>18604.079999999998</v>
      </c>
      <c r="AE330">
        <v>2769.7799999999988</v>
      </c>
      <c r="AF330">
        <v>0.1488802456235406</v>
      </c>
      <c r="AG330" t="s">
        <v>2824</v>
      </c>
      <c r="AH330">
        <v>2025</v>
      </c>
      <c r="AI330" t="s">
        <v>2835</v>
      </c>
    </row>
    <row r="331" spans="1:35">
      <c r="A331" t="s">
        <v>1092</v>
      </c>
      <c r="B331">
        <v>45789</v>
      </c>
      <c r="C331">
        <v>45795</v>
      </c>
      <c r="D331" t="s">
        <v>1093</v>
      </c>
      <c r="E331" t="s">
        <v>79</v>
      </c>
      <c r="F331" t="s">
        <v>37</v>
      </c>
      <c r="G331" t="s">
        <v>63</v>
      </c>
      <c r="H331" t="s">
        <v>64</v>
      </c>
      <c r="I331" t="s">
        <v>65</v>
      </c>
      <c r="J331" t="s">
        <v>28</v>
      </c>
      <c r="K331" t="s">
        <v>124</v>
      </c>
      <c r="L331" t="s">
        <v>1094</v>
      </c>
      <c r="M331" t="s">
        <v>59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32</v>
      </c>
      <c r="U331" t="s">
        <v>33</v>
      </c>
      <c r="V331" t="s">
        <v>2834</v>
      </c>
      <c r="W331" t="s">
        <v>2834</v>
      </c>
      <c r="X331" t="s">
        <v>2834</v>
      </c>
      <c r="Y331" t="s">
        <v>2834</v>
      </c>
      <c r="Z331">
        <v>6</v>
      </c>
      <c r="AA331" t="s">
        <v>2789</v>
      </c>
      <c r="AB331">
        <v>0.05</v>
      </c>
      <c r="AC331" t="s">
        <v>2794</v>
      </c>
      <c r="AD331">
        <v>15401.513999999999</v>
      </c>
      <c r="AE331">
        <v>6751.0939999999991</v>
      </c>
      <c r="AF331">
        <v>0.43833963336331738</v>
      </c>
      <c r="AG331" t="s">
        <v>2824</v>
      </c>
      <c r="AH331">
        <v>2025</v>
      </c>
      <c r="AI331" t="s">
        <v>2835</v>
      </c>
    </row>
    <row r="332" spans="1:35">
      <c r="A332" t="s">
        <v>1095</v>
      </c>
      <c r="B332">
        <v>45428</v>
      </c>
      <c r="C332">
        <v>45436</v>
      </c>
      <c r="D332" t="s">
        <v>1096</v>
      </c>
      <c r="E332" t="s">
        <v>53</v>
      </c>
      <c r="F332" t="s">
        <v>95</v>
      </c>
      <c r="G332" t="s">
        <v>25</v>
      </c>
      <c r="H332" t="s">
        <v>122</v>
      </c>
      <c r="I332" t="s">
        <v>123</v>
      </c>
      <c r="J332" t="s">
        <v>74</v>
      </c>
      <c r="K332" t="s">
        <v>75</v>
      </c>
      <c r="L332" t="s">
        <v>1097</v>
      </c>
      <c r="M332" t="s">
        <v>44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155</v>
      </c>
      <c r="U332" t="s">
        <v>68</v>
      </c>
      <c r="V332" t="s">
        <v>2834</v>
      </c>
      <c r="W332" t="s">
        <v>2834</v>
      </c>
      <c r="X332" t="s">
        <v>2834</v>
      </c>
      <c r="Y332" t="s">
        <v>2834</v>
      </c>
      <c r="Z332">
        <v>8</v>
      </c>
      <c r="AA332" t="s">
        <v>2789</v>
      </c>
      <c r="AB332">
        <v>0</v>
      </c>
      <c r="AC332" t="s">
        <v>2794</v>
      </c>
      <c r="AD332">
        <v>783.09</v>
      </c>
      <c r="AE332">
        <v>279.20000000000005</v>
      </c>
      <c r="AF332">
        <v>0.3565362857398256</v>
      </c>
      <c r="AG332" t="s">
        <v>2824</v>
      </c>
      <c r="AH332">
        <v>2024</v>
      </c>
      <c r="AI332" t="s">
        <v>2835</v>
      </c>
    </row>
    <row r="333" spans="1:35">
      <c r="A333" t="s">
        <v>1098</v>
      </c>
      <c r="B333">
        <v>45630</v>
      </c>
      <c r="C333">
        <v>45632</v>
      </c>
      <c r="D333" t="s">
        <v>1099</v>
      </c>
      <c r="E333" t="s">
        <v>132</v>
      </c>
      <c r="F333" t="s">
        <v>95</v>
      </c>
      <c r="G333" t="s">
        <v>38</v>
      </c>
      <c r="H333" t="s">
        <v>39</v>
      </c>
      <c r="I333" t="s">
        <v>40</v>
      </c>
      <c r="J333" t="s">
        <v>28</v>
      </c>
      <c r="K333" t="s">
        <v>153</v>
      </c>
      <c r="L333" t="s">
        <v>1100</v>
      </c>
      <c r="M333" t="s">
        <v>31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32</v>
      </c>
      <c r="U333" t="s">
        <v>103</v>
      </c>
      <c r="V333" t="s">
        <v>2834</v>
      </c>
      <c r="W333" t="s">
        <v>2834</v>
      </c>
      <c r="X333" t="s">
        <v>2834</v>
      </c>
      <c r="Y333" t="s">
        <v>2834</v>
      </c>
      <c r="Z333">
        <v>2</v>
      </c>
      <c r="AA333" t="s">
        <v>2790</v>
      </c>
      <c r="AB333">
        <v>0</v>
      </c>
      <c r="AC333" t="s">
        <v>2794</v>
      </c>
      <c r="AD333">
        <v>10742.64</v>
      </c>
      <c r="AE333">
        <v>4265.2699999999995</v>
      </c>
      <c r="AF333">
        <v>0.39704113700170535</v>
      </c>
      <c r="AG333" t="s">
        <v>2831</v>
      </c>
      <c r="AH333">
        <v>2024</v>
      </c>
      <c r="AI333" t="s">
        <v>2836</v>
      </c>
    </row>
    <row r="334" spans="1:35">
      <c r="A334" t="s">
        <v>1101</v>
      </c>
      <c r="B334">
        <v>45804</v>
      </c>
      <c r="C334">
        <v>45805</v>
      </c>
      <c r="D334" t="s">
        <v>1102</v>
      </c>
      <c r="E334" t="s">
        <v>128</v>
      </c>
      <c r="F334" t="s">
        <v>24</v>
      </c>
      <c r="G334" t="s">
        <v>54</v>
      </c>
      <c r="H334" t="s">
        <v>84</v>
      </c>
      <c r="I334" t="s">
        <v>85</v>
      </c>
      <c r="J334" t="s">
        <v>74</v>
      </c>
      <c r="K334" t="s">
        <v>274</v>
      </c>
      <c r="L334" t="s">
        <v>1103</v>
      </c>
      <c r="M334" t="s">
        <v>31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32</v>
      </c>
      <c r="U334" t="s">
        <v>33</v>
      </c>
      <c r="V334" t="s">
        <v>2834</v>
      </c>
      <c r="W334" t="s">
        <v>2834</v>
      </c>
      <c r="X334" t="s">
        <v>2834</v>
      </c>
      <c r="Y334" t="s">
        <v>2834</v>
      </c>
      <c r="Z334">
        <v>1</v>
      </c>
      <c r="AA334" t="s">
        <v>2789</v>
      </c>
      <c r="AB334">
        <v>0</v>
      </c>
      <c r="AC334" t="s">
        <v>2794</v>
      </c>
      <c r="AD334">
        <v>7823.92</v>
      </c>
      <c r="AE334">
        <v>1789.29</v>
      </c>
      <c r="AF334">
        <v>0.22869482305545047</v>
      </c>
      <c r="AG334" t="s">
        <v>2824</v>
      </c>
      <c r="AH334">
        <v>2025</v>
      </c>
      <c r="AI334" t="s">
        <v>2835</v>
      </c>
    </row>
    <row r="335" spans="1:35">
      <c r="A335" t="s">
        <v>1104</v>
      </c>
      <c r="B335">
        <v>45830</v>
      </c>
      <c r="C335">
        <v>45835</v>
      </c>
      <c r="D335" t="s">
        <v>1105</v>
      </c>
      <c r="E335" t="s">
        <v>141</v>
      </c>
      <c r="F335" t="s">
        <v>95</v>
      </c>
      <c r="G335" t="s">
        <v>2791</v>
      </c>
      <c r="H335" t="s">
        <v>350</v>
      </c>
      <c r="I335" t="s">
        <v>351</v>
      </c>
      <c r="J335" t="s">
        <v>74</v>
      </c>
      <c r="K335" t="s">
        <v>171</v>
      </c>
      <c r="L335" t="s">
        <v>1106</v>
      </c>
      <c r="M335" t="s">
        <v>50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32</v>
      </c>
      <c r="U335" t="s">
        <v>33</v>
      </c>
      <c r="V335" t="s">
        <v>2834</v>
      </c>
      <c r="W335" t="s">
        <v>2834</v>
      </c>
      <c r="X335" t="s">
        <v>2834</v>
      </c>
      <c r="Y335" t="s">
        <v>2834</v>
      </c>
      <c r="Z335">
        <v>5</v>
      </c>
      <c r="AA335" t="s">
        <v>2789</v>
      </c>
      <c r="AB335">
        <v>0</v>
      </c>
      <c r="AC335" t="s">
        <v>2794</v>
      </c>
      <c r="AD335">
        <v>2936.1</v>
      </c>
      <c r="AE335">
        <v>1013</v>
      </c>
      <c r="AF335">
        <v>0.34501549674738602</v>
      </c>
      <c r="AG335" t="s">
        <v>2825</v>
      </c>
      <c r="AH335">
        <v>2025</v>
      </c>
      <c r="AI335" t="s">
        <v>2838</v>
      </c>
    </row>
    <row r="336" spans="1:35">
      <c r="A336" t="s">
        <v>1107</v>
      </c>
      <c r="B336">
        <v>45547</v>
      </c>
      <c r="C336">
        <v>45552</v>
      </c>
      <c r="D336" t="s">
        <v>1108</v>
      </c>
      <c r="E336" t="s">
        <v>62</v>
      </c>
      <c r="F336" t="s">
        <v>24</v>
      </c>
      <c r="G336" t="s">
        <v>38</v>
      </c>
      <c r="H336" t="s">
        <v>228</v>
      </c>
      <c r="I336" t="s">
        <v>229</v>
      </c>
      <c r="J336" t="s">
        <v>28</v>
      </c>
      <c r="K336" t="s">
        <v>124</v>
      </c>
      <c r="L336" t="s">
        <v>1109</v>
      </c>
      <c r="M336" t="s">
        <v>50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32</v>
      </c>
      <c r="U336" t="s">
        <v>33</v>
      </c>
      <c r="V336" t="s">
        <v>2834</v>
      </c>
      <c r="W336" t="s">
        <v>2834</v>
      </c>
      <c r="X336" t="s">
        <v>2834</v>
      </c>
      <c r="Y336" t="s">
        <v>2834</v>
      </c>
      <c r="Z336">
        <v>5</v>
      </c>
      <c r="AA336" t="s">
        <v>2789</v>
      </c>
      <c r="AB336">
        <v>0.25</v>
      </c>
      <c r="AC336" t="s">
        <v>2794</v>
      </c>
      <c r="AD336">
        <v>12969.922500000001</v>
      </c>
      <c r="AE336">
        <v>3571.4625000000015</v>
      </c>
      <c r="AF336">
        <v>0.27536498386941027</v>
      </c>
      <c r="AG336" t="s">
        <v>2828</v>
      </c>
      <c r="AH336">
        <v>2024</v>
      </c>
      <c r="AI336" t="s">
        <v>2835</v>
      </c>
    </row>
    <row r="337" spans="1:35">
      <c r="A337" t="s">
        <v>1110</v>
      </c>
      <c r="B337">
        <v>45824</v>
      </c>
      <c r="C337">
        <v>45826</v>
      </c>
      <c r="D337" t="s">
        <v>1111</v>
      </c>
      <c r="E337" t="s">
        <v>118</v>
      </c>
      <c r="F337" t="s">
        <v>95</v>
      </c>
      <c r="G337" t="s">
        <v>63</v>
      </c>
      <c r="H337" t="s">
        <v>72</v>
      </c>
      <c r="I337" t="s">
        <v>73</v>
      </c>
      <c r="J337" t="s">
        <v>28</v>
      </c>
      <c r="K337" t="s">
        <v>29</v>
      </c>
      <c r="L337" t="s">
        <v>1112</v>
      </c>
      <c r="M337" t="s">
        <v>50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32</v>
      </c>
      <c r="U337" t="s">
        <v>33</v>
      </c>
      <c r="V337" t="s">
        <v>2834</v>
      </c>
      <c r="W337" t="s">
        <v>2834</v>
      </c>
      <c r="X337" t="s">
        <v>2834</v>
      </c>
      <c r="Y337" t="s">
        <v>2834</v>
      </c>
      <c r="Z337">
        <v>2</v>
      </c>
      <c r="AA337" t="s">
        <v>2790</v>
      </c>
      <c r="AB337">
        <v>0.1</v>
      </c>
      <c r="AC337" t="s">
        <v>2794</v>
      </c>
      <c r="AD337">
        <v>11581.299000000001</v>
      </c>
      <c r="AE337">
        <v>4751.8690000000006</v>
      </c>
      <c r="AF337">
        <v>0.41030535521101735</v>
      </c>
      <c r="AG337" t="s">
        <v>2825</v>
      </c>
      <c r="AH337">
        <v>2025</v>
      </c>
      <c r="AI337" t="s">
        <v>2836</v>
      </c>
    </row>
    <row r="338" spans="1:35">
      <c r="A338" t="s">
        <v>1113</v>
      </c>
      <c r="B338">
        <v>45368</v>
      </c>
      <c r="C338">
        <v>45372</v>
      </c>
      <c r="D338" t="s">
        <v>865</v>
      </c>
      <c r="E338" t="s">
        <v>128</v>
      </c>
      <c r="F338" t="s">
        <v>24</v>
      </c>
      <c r="G338" t="s">
        <v>25</v>
      </c>
      <c r="H338" t="s">
        <v>26</v>
      </c>
      <c r="I338" t="s">
        <v>27</v>
      </c>
      <c r="J338" t="s">
        <v>74</v>
      </c>
      <c r="K338" t="s">
        <v>80</v>
      </c>
      <c r="L338" t="s">
        <v>1114</v>
      </c>
      <c r="M338" t="s">
        <v>50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32</v>
      </c>
      <c r="U338" t="s">
        <v>33</v>
      </c>
      <c r="V338" t="s">
        <v>2834</v>
      </c>
      <c r="W338" t="s">
        <v>2834</v>
      </c>
      <c r="X338" t="s">
        <v>2834</v>
      </c>
      <c r="Y338" t="s">
        <v>2834</v>
      </c>
      <c r="Z338">
        <v>4</v>
      </c>
      <c r="AA338" t="s">
        <v>2789</v>
      </c>
      <c r="AB338">
        <v>0</v>
      </c>
      <c r="AC338" t="s">
        <v>2794</v>
      </c>
      <c r="AD338">
        <v>15940.56</v>
      </c>
      <c r="AE338">
        <v>3593.41</v>
      </c>
      <c r="AF338">
        <v>0.2254255810335396</v>
      </c>
      <c r="AG338" t="s">
        <v>2822</v>
      </c>
      <c r="AH338">
        <v>2024</v>
      </c>
      <c r="AI338" t="s">
        <v>2835</v>
      </c>
    </row>
    <row r="339" spans="1:35">
      <c r="A339" t="s">
        <v>1115</v>
      </c>
      <c r="B339">
        <v>45516</v>
      </c>
      <c r="C339">
        <v>45522</v>
      </c>
      <c r="D339" t="s">
        <v>1116</v>
      </c>
      <c r="E339" t="s">
        <v>62</v>
      </c>
      <c r="F339" t="s">
        <v>24</v>
      </c>
      <c r="G339" t="s">
        <v>38</v>
      </c>
      <c r="H339" t="s">
        <v>166</v>
      </c>
      <c r="I339" t="s">
        <v>167</v>
      </c>
      <c r="J339" t="s">
        <v>28</v>
      </c>
      <c r="K339" t="s">
        <v>91</v>
      </c>
      <c r="L339" t="s">
        <v>1117</v>
      </c>
      <c r="M339" t="s">
        <v>44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32</v>
      </c>
      <c r="U339" t="s">
        <v>33</v>
      </c>
      <c r="V339" t="s">
        <v>2834</v>
      </c>
      <c r="W339" t="s">
        <v>2834</v>
      </c>
      <c r="X339" t="s">
        <v>2834</v>
      </c>
      <c r="Y339" t="s">
        <v>2834</v>
      </c>
      <c r="Z339">
        <v>6</v>
      </c>
      <c r="AA339" t="s">
        <v>2789</v>
      </c>
      <c r="AB339">
        <v>0</v>
      </c>
      <c r="AC339" t="s">
        <v>2794</v>
      </c>
      <c r="AD339">
        <v>7090.4400000000005</v>
      </c>
      <c r="AE339">
        <v>1418.17</v>
      </c>
      <c r="AF339">
        <v>0.20001156486762456</v>
      </c>
      <c r="AG339" t="s">
        <v>2827</v>
      </c>
      <c r="AH339">
        <v>2024</v>
      </c>
      <c r="AI339" t="s">
        <v>2835</v>
      </c>
    </row>
    <row r="340" spans="1:35">
      <c r="A340" t="s">
        <v>1118</v>
      </c>
      <c r="B340">
        <v>45634</v>
      </c>
      <c r="C340">
        <v>45634</v>
      </c>
      <c r="D340" t="s">
        <v>1119</v>
      </c>
      <c r="E340" t="s">
        <v>53</v>
      </c>
      <c r="F340" t="s">
        <v>37</v>
      </c>
      <c r="G340" t="s">
        <v>54</v>
      </c>
      <c r="H340" t="s">
        <v>84</v>
      </c>
      <c r="I340" t="s">
        <v>85</v>
      </c>
      <c r="J340" t="s">
        <v>74</v>
      </c>
      <c r="K340" t="s">
        <v>75</v>
      </c>
      <c r="L340" t="s">
        <v>1120</v>
      </c>
      <c r="M340" t="s">
        <v>50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32</v>
      </c>
      <c r="U340" t="s">
        <v>33</v>
      </c>
      <c r="V340" t="s">
        <v>2834</v>
      </c>
      <c r="W340" t="s">
        <v>2834</v>
      </c>
      <c r="X340" t="s">
        <v>2834</v>
      </c>
      <c r="Y340" t="s">
        <v>2834</v>
      </c>
      <c r="Z340">
        <v>0</v>
      </c>
      <c r="AA340" t="s">
        <v>2789</v>
      </c>
      <c r="AB340">
        <v>0.25</v>
      </c>
      <c r="AC340" t="s">
        <v>2794</v>
      </c>
      <c r="AD340">
        <v>26414.159999999996</v>
      </c>
      <c r="AE340">
        <v>4591.6299999999974</v>
      </c>
      <c r="AF340">
        <v>0.17383214154832097</v>
      </c>
      <c r="AG340" t="s">
        <v>2831</v>
      </c>
      <c r="AH340">
        <v>2024</v>
      </c>
      <c r="AI340" t="s">
        <v>2835</v>
      </c>
    </row>
    <row r="341" spans="1:35">
      <c r="A341" t="s">
        <v>1121</v>
      </c>
      <c r="B341">
        <v>45708</v>
      </c>
      <c r="C341">
        <v>45710</v>
      </c>
      <c r="D341" t="s">
        <v>1122</v>
      </c>
      <c r="E341" t="s">
        <v>79</v>
      </c>
      <c r="F341" t="s">
        <v>90</v>
      </c>
      <c r="G341" t="s">
        <v>38</v>
      </c>
      <c r="H341" t="s">
        <v>228</v>
      </c>
      <c r="I341" t="s">
        <v>229</v>
      </c>
      <c r="J341" t="s">
        <v>41</v>
      </c>
      <c r="K341" t="s">
        <v>158</v>
      </c>
      <c r="L341" t="s">
        <v>1123</v>
      </c>
      <c r="M341" t="s">
        <v>59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32</v>
      </c>
      <c r="U341" t="s">
        <v>33</v>
      </c>
      <c r="V341" t="s">
        <v>2834</v>
      </c>
      <c r="W341" t="s">
        <v>2834</v>
      </c>
      <c r="X341" t="s">
        <v>2834</v>
      </c>
      <c r="Y341" t="s">
        <v>2834</v>
      </c>
      <c r="Z341">
        <v>2</v>
      </c>
      <c r="AA341" t="s">
        <v>2789</v>
      </c>
      <c r="AB341">
        <v>0.2</v>
      </c>
      <c r="AC341" t="s">
        <v>2794</v>
      </c>
      <c r="AD341">
        <v>20900.864000000001</v>
      </c>
      <c r="AE341">
        <v>8387.724000000002</v>
      </c>
      <c r="AF341">
        <v>0.40130991714026759</v>
      </c>
      <c r="AG341" t="s">
        <v>2821</v>
      </c>
      <c r="AH341">
        <v>2025</v>
      </c>
      <c r="AI341" t="s">
        <v>2835</v>
      </c>
    </row>
    <row r="342" spans="1:35">
      <c r="A342" t="s">
        <v>1124</v>
      </c>
      <c r="B342">
        <v>45312</v>
      </c>
      <c r="C342">
        <v>45320</v>
      </c>
      <c r="D342" t="s">
        <v>1125</v>
      </c>
      <c r="E342" t="s">
        <v>79</v>
      </c>
      <c r="F342" t="s">
        <v>24</v>
      </c>
      <c r="G342" t="s">
        <v>54</v>
      </c>
      <c r="H342" t="s">
        <v>175</v>
      </c>
      <c r="I342" t="s">
        <v>176</v>
      </c>
      <c r="J342" t="s">
        <v>28</v>
      </c>
      <c r="K342" t="s">
        <v>153</v>
      </c>
      <c r="L342" t="s">
        <v>1126</v>
      </c>
      <c r="M342" t="s">
        <v>59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32</v>
      </c>
      <c r="U342" t="s">
        <v>33</v>
      </c>
      <c r="V342" t="s">
        <v>2834</v>
      </c>
      <c r="W342" t="s">
        <v>2834</v>
      </c>
      <c r="X342" t="s">
        <v>2834</v>
      </c>
      <c r="Y342" t="s">
        <v>2834</v>
      </c>
      <c r="Z342">
        <v>8</v>
      </c>
      <c r="AA342" t="s">
        <v>2789</v>
      </c>
      <c r="AB342">
        <v>0.1</v>
      </c>
      <c r="AC342" t="s">
        <v>2794</v>
      </c>
      <c r="AD342">
        <v>18261.36</v>
      </c>
      <c r="AE342">
        <v>6861.42</v>
      </c>
      <c r="AF342">
        <v>0.3757343374206521</v>
      </c>
      <c r="AG342" t="s">
        <v>2820</v>
      </c>
      <c r="AH342">
        <v>2024</v>
      </c>
      <c r="AI342" t="s">
        <v>2835</v>
      </c>
    </row>
    <row r="343" spans="1:35">
      <c r="A343" t="s">
        <v>1127</v>
      </c>
      <c r="B343">
        <v>45908</v>
      </c>
      <c r="C343">
        <v>45909</v>
      </c>
      <c r="D343" t="s">
        <v>1128</v>
      </c>
      <c r="E343" t="s">
        <v>141</v>
      </c>
      <c r="F343" t="s">
        <v>95</v>
      </c>
      <c r="G343" t="s">
        <v>63</v>
      </c>
      <c r="H343" t="s">
        <v>180</v>
      </c>
      <c r="I343" t="s">
        <v>181</v>
      </c>
      <c r="J343" t="s">
        <v>41</v>
      </c>
      <c r="K343" t="s">
        <v>66</v>
      </c>
      <c r="L343" t="s">
        <v>1129</v>
      </c>
      <c r="M343" t="s">
        <v>31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32</v>
      </c>
      <c r="U343" t="s">
        <v>33</v>
      </c>
      <c r="V343" t="s">
        <v>2834</v>
      </c>
      <c r="W343" t="s">
        <v>2834</v>
      </c>
      <c r="X343" t="s">
        <v>2834</v>
      </c>
      <c r="Y343" t="s">
        <v>2834</v>
      </c>
      <c r="Z343">
        <v>1</v>
      </c>
      <c r="AA343" t="s">
        <v>2789</v>
      </c>
      <c r="AB343">
        <v>0.05</v>
      </c>
      <c r="AC343" t="s">
        <v>2794</v>
      </c>
      <c r="AD343">
        <v>7524.6269999999995</v>
      </c>
      <c r="AE343">
        <v>1295.0269999999991</v>
      </c>
      <c r="AF343">
        <v>0.17210514222166751</v>
      </c>
      <c r="AG343" t="s">
        <v>2828</v>
      </c>
      <c r="AH343">
        <v>2025</v>
      </c>
      <c r="AI343" t="s">
        <v>2835</v>
      </c>
    </row>
    <row r="344" spans="1:35">
      <c r="A344" t="s">
        <v>1130</v>
      </c>
      <c r="B344">
        <v>45862</v>
      </c>
      <c r="C344">
        <v>45870</v>
      </c>
      <c r="D344" t="s">
        <v>1131</v>
      </c>
      <c r="E344" t="s">
        <v>264</v>
      </c>
      <c r="F344" t="s">
        <v>37</v>
      </c>
      <c r="G344" t="s">
        <v>38</v>
      </c>
      <c r="H344" t="s">
        <v>228</v>
      </c>
      <c r="I344" t="s">
        <v>229</v>
      </c>
      <c r="J344" t="s">
        <v>28</v>
      </c>
      <c r="K344" t="s">
        <v>153</v>
      </c>
      <c r="L344" t="s">
        <v>1132</v>
      </c>
      <c r="M344" t="s">
        <v>50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32</v>
      </c>
      <c r="U344" t="s">
        <v>33</v>
      </c>
      <c r="V344" t="s">
        <v>2834</v>
      </c>
      <c r="W344" t="s">
        <v>2834</v>
      </c>
      <c r="X344" t="s">
        <v>2834</v>
      </c>
      <c r="Y344" t="s">
        <v>2834</v>
      </c>
      <c r="Z344">
        <v>8</v>
      </c>
      <c r="AA344" t="s">
        <v>2789</v>
      </c>
      <c r="AB344">
        <v>0</v>
      </c>
      <c r="AC344" t="s">
        <v>2794</v>
      </c>
      <c r="AD344">
        <v>12231.36</v>
      </c>
      <c r="AE344">
        <v>3464.4600000000009</v>
      </c>
      <c r="AF344">
        <v>0.28324405462679547</v>
      </c>
      <c r="AG344" t="s">
        <v>2826</v>
      </c>
      <c r="AH344">
        <v>2025</v>
      </c>
      <c r="AI344" t="s">
        <v>2835</v>
      </c>
    </row>
    <row r="345" spans="1:35">
      <c r="A345" t="s">
        <v>1133</v>
      </c>
      <c r="B345">
        <v>45933</v>
      </c>
      <c r="C345">
        <v>45938</v>
      </c>
      <c r="D345" t="s">
        <v>1134</v>
      </c>
      <c r="E345" t="s">
        <v>128</v>
      </c>
      <c r="F345" t="s">
        <v>90</v>
      </c>
      <c r="G345" t="s">
        <v>63</v>
      </c>
      <c r="H345" t="s">
        <v>72</v>
      </c>
      <c r="I345" t="s">
        <v>73</v>
      </c>
      <c r="J345" t="s">
        <v>74</v>
      </c>
      <c r="K345" t="s">
        <v>274</v>
      </c>
      <c r="L345" t="s">
        <v>1135</v>
      </c>
      <c r="M345" t="s">
        <v>44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32</v>
      </c>
      <c r="U345" t="s">
        <v>33</v>
      </c>
      <c r="V345" t="s">
        <v>2834</v>
      </c>
      <c r="W345" t="s">
        <v>2834</v>
      </c>
      <c r="X345" t="s">
        <v>2834</v>
      </c>
      <c r="Y345" t="s">
        <v>2834</v>
      </c>
      <c r="Z345">
        <v>5</v>
      </c>
      <c r="AA345" t="s">
        <v>2789</v>
      </c>
      <c r="AB345">
        <v>0.1</v>
      </c>
      <c r="AC345" t="s">
        <v>2794</v>
      </c>
      <c r="AD345">
        <v>31079.7</v>
      </c>
      <c r="AE345">
        <v>13321.45</v>
      </c>
      <c r="AF345">
        <v>0.4286222196481948</v>
      </c>
      <c r="AG345" t="s">
        <v>2829</v>
      </c>
      <c r="AH345">
        <v>2025</v>
      </c>
      <c r="AI345" t="s">
        <v>2835</v>
      </c>
    </row>
    <row r="346" spans="1:35">
      <c r="A346" t="s">
        <v>1136</v>
      </c>
      <c r="B346">
        <v>45362</v>
      </c>
      <c r="C346">
        <v>45362</v>
      </c>
      <c r="D346" t="s">
        <v>1137</v>
      </c>
      <c r="E346" t="s">
        <v>114</v>
      </c>
      <c r="F346" t="s">
        <v>24</v>
      </c>
      <c r="G346" t="s">
        <v>25</v>
      </c>
      <c r="H346" t="s">
        <v>122</v>
      </c>
      <c r="I346" t="s">
        <v>123</v>
      </c>
      <c r="J346" t="s">
        <v>41</v>
      </c>
      <c r="K346" t="s">
        <v>158</v>
      </c>
      <c r="L346" t="s">
        <v>1138</v>
      </c>
      <c r="M346" t="s">
        <v>44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111</v>
      </c>
      <c r="U346" t="s">
        <v>103</v>
      </c>
      <c r="V346" t="s">
        <v>2834</v>
      </c>
      <c r="W346" t="s">
        <v>2834</v>
      </c>
      <c r="X346" t="s">
        <v>2834</v>
      </c>
      <c r="Y346" t="s">
        <v>2834</v>
      </c>
      <c r="Z346">
        <v>0</v>
      </c>
      <c r="AA346" t="s">
        <v>2789</v>
      </c>
      <c r="AB346">
        <v>0</v>
      </c>
      <c r="AC346" t="s">
        <v>2794</v>
      </c>
      <c r="AD346">
        <v>31107.420000000002</v>
      </c>
      <c r="AE346">
        <v>10960.760000000002</v>
      </c>
      <c r="AF346">
        <v>0.3523519468988428</v>
      </c>
      <c r="AG346" t="s">
        <v>2822</v>
      </c>
      <c r="AH346">
        <v>2024</v>
      </c>
      <c r="AI346" t="s">
        <v>2835</v>
      </c>
    </row>
    <row r="347" spans="1:35">
      <c r="A347" t="s">
        <v>1139</v>
      </c>
      <c r="B347">
        <v>45549</v>
      </c>
      <c r="C347">
        <v>45557</v>
      </c>
      <c r="D347" t="s">
        <v>1140</v>
      </c>
      <c r="E347" t="s">
        <v>23</v>
      </c>
      <c r="F347" t="s">
        <v>24</v>
      </c>
      <c r="G347" t="s">
        <v>63</v>
      </c>
      <c r="H347" t="s">
        <v>72</v>
      </c>
      <c r="I347" t="s">
        <v>73</v>
      </c>
      <c r="J347" t="s">
        <v>41</v>
      </c>
      <c r="K347" t="s">
        <v>57</v>
      </c>
      <c r="L347" t="s">
        <v>1141</v>
      </c>
      <c r="M347" t="s">
        <v>31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32</v>
      </c>
      <c r="U347" t="s">
        <v>33</v>
      </c>
      <c r="V347" t="s">
        <v>2834</v>
      </c>
      <c r="W347" t="s">
        <v>2834</v>
      </c>
      <c r="X347" t="s">
        <v>2834</v>
      </c>
      <c r="Y347" t="s">
        <v>2834</v>
      </c>
      <c r="Z347">
        <v>8</v>
      </c>
      <c r="AA347" t="s">
        <v>2789</v>
      </c>
      <c r="AB347">
        <v>0</v>
      </c>
      <c r="AC347" t="s">
        <v>2794</v>
      </c>
      <c r="AD347">
        <v>5530.6</v>
      </c>
      <c r="AE347">
        <v>1077.4900000000007</v>
      </c>
      <c r="AF347">
        <v>0.19482334647235391</v>
      </c>
      <c r="AG347" t="s">
        <v>2828</v>
      </c>
      <c r="AH347">
        <v>2024</v>
      </c>
      <c r="AI347" t="s">
        <v>2835</v>
      </c>
    </row>
    <row r="348" spans="1:35">
      <c r="A348" t="s">
        <v>1142</v>
      </c>
      <c r="B348">
        <v>45860</v>
      </c>
      <c r="C348">
        <v>45866</v>
      </c>
      <c r="D348" t="s">
        <v>1143</v>
      </c>
      <c r="E348" t="s">
        <v>118</v>
      </c>
      <c r="F348" t="s">
        <v>90</v>
      </c>
      <c r="G348" t="s">
        <v>54</v>
      </c>
      <c r="H348" t="s">
        <v>185</v>
      </c>
      <c r="I348" t="s">
        <v>186</v>
      </c>
      <c r="J348" t="s">
        <v>41</v>
      </c>
      <c r="K348" t="s">
        <v>66</v>
      </c>
      <c r="L348" t="s">
        <v>1144</v>
      </c>
      <c r="M348" t="s">
        <v>31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32</v>
      </c>
      <c r="U348" t="s">
        <v>33</v>
      </c>
      <c r="V348" t="s">
        <v>2834</v>
      </c>
      <c r="W348" t="s">
        <v>2834</v>
      </c>
      <c r="X348" t="s">
        <v>2834</v>
      </c>
      <c r="Y348" t="s">
        <v>2834</v>
      </c>
      <c r="Z348">
        <v>6</v>
      </c>
      <c r="AA348" t="s">
        <v>2789</v>
      </c>
      <c r="AB348">
        <v>0.2</v>
      </c>
      <c r="AC348" t="s">
        <v>2794</v>
      </c>
      <c r="AD348">
        <v>7715.8080000000009</v>
      </c>
      <c r="AE348">
        <v>3457.3880000000008</v>
      </c>
      <c r="AF348">
        <v>0.4480915025360922</v>
      </c>
      <c r="AG348" t="s">
        <v>2826</v>
      </c>
      <c r="AH348">
        <v>2025</v>
      </c>
      <c r="AI348" t="s">
        <v>2835</v>
      </c>
    </row>
    <row r="349" spans="1:35">
      <c r="A349" t="s">
        <v>1145</v>
      </c>
      <c r="B349">
        <v>45627</v>
      </c>
      <c r="C349">
        <v>45634</v>
      </c>
      <c r="D349" t="s">
        <v>1146</v>
      </c>
      <c r="E349" t="s">
        <v>128</v>
      </c>
      <c r="F349" t="s">
        <v>37</v>
      </c>
      <c r="G349" t="s">
        <v>63</v>
      </c>
      <c r="H349" t="s">
        <v>190</v>
      </c>
      <c r="I349" t="s">
        <v>191</v>
      </c>
      <c r="J349" t="s">
        <v>41</v>
      </c>
      <c r="K349" t="s">
        <v>66</v>
      </c>
      <c r="L349" t="s">
        <v>1147</v>
      </c>
      <c r="M349" t="s">
        <v>31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102</v>
      </c>
      <c r="U349" t="s">
        <v>103</v>
      </c>
      <c r="V349" t="s">
        <v>2834</v>
      </c>
      <c r="W349" t="s">
        <v>2834</v>
      </c>
      <c r="X349" t="s">
        <v>2834</v>
      </c>
      <c r="Y349" t="s">
        <v>2834</v>
      </c>
      <c r="Z349">
        <v>7</v>
      </c>
      <c r="AA349" t="s">
        <v>2789</v>
      </c>
      <c r="AB349">
        <v>0.2</v>
      </c>
      <c r="AC349" t="s">
        <v>2794</v>
      </c>
      <c r="AD349">
        <v>11925.96</v>
      </c>
      <c r="AE349">
        <v>1822.4499999999989</v>
      </c>
      <c r="AF349">
        <v>0.15281369382422874</v>
      </c>
      <c r="AG349" t="s">
        <v>2831</v>
      </c>
      <c r="AH349">
        <v>2024</v>
      </c>
      <c r="AI349" t="s">
        <v>2835</v>
      </c>
    </row>
    <row r="350" spans="1:35">
      <c r="A350" t="s">
        <v>1148</v>
      </c>
      <c r="B350">
        <v>45445</v>
      </c>
      <c r="C350">
        <v>45450</v>
      </c>
      <c r="D350" t="s">
        <v>1149</v>
      </c>
      <c r="E350" t="s">
        <v>128</v>
      </c>
      <c r="F350" t="s">
        <v>90</v>
      </c>
      <c r="G350" t="s">
        <v>54</v>
      </c>
      <c r="H350" t="s">
        <v>175</v>
      </c>
      <c r="I350" t="s">
        <v>176</v>
      </c>
      <c r="J350" t="s">
        <v>74</v>
      </c>
      <c r="K350" t="s">
        <v>171</v>
      </c>
      <c r="L350" t="s">
        <v>1150</v>
      </c>
      <c r="M350" t="s">
        <v>44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32</v>
      </c>
      <c r="U350" t="s">
        <v>33</v>
      </c>
      <c r="V350" t="s">
        <v>2834</v>
      </c>
      <c r="W350" t="s">
        <v>2834</v>
      </c>
      <c r="X350" t="s">
        <v>2834</v>
      </c>
      <c r="Y350" t="s">
        <v>2834</v>
      </c>
      <c r="Z350">
        <v>5</v>
      </c>
      <c r="AA350" t="s">
        <v>2789</v>
      </c>
      <c r="AB350">
        <v>0.25</v>
      </c>
      <c r="AC350" t="s">
        <v>2794</v>
      </c>
      <c r="AD350">
        <v>19306.755000000005</v>
      </c>
      <c r="AE350">
        <v>4864.3750000000055</v>
      </c>
      <c r="AF350">
        <v>0.25195197225012717</v>
      </c>
      <c r="AG350" t="s">
        <v>2825</v>
      </c>
      <c r="AH350">
        <v>2024</v>
      </c>
      <c r="AI350" t="s">
        <v>2835</v>
      </c>
    </row>
    <row r="351" spans="1:35">
      <c r="A351" t="s">
        <v>1151</v>
      </c>
      <c r="B351">
        <v>45927</v>
      </c>
      <c r="C351">
        <v>45929</v>
      </c>
      <c r="D351" t="s">
        <v>1152</v>
      </c>
      <c r="E351" t="s">
        <v>264</v>
      </c>
      <c r="F351" t="s">
        <v>95</v>
      </c>
      <c r="G351" t="s">
        <v>38</v>
      </c>
      <c r="H351" t="s">
        <v>228</v>
      </c>
      <c r="I351" t="s">
        <v>229</v>
      </c>
      <c r="J351" t="s">
        <v>41</v>
      </c>
      <c r="K351" t="s">
        <v>57</v>
      </c>
      <c r="L351" t="s">
        <v>1153</v>
      </c>
      <c r="M351" t="s">
        <v>31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32</v>
      </c>
      <c r="U351" t="s">
        <v>33</v>
      </c>
      <c r="V351" t="s">
        <v>2834</v>
      </c>
      <c r="W351" t="s">
        <v>2834</v>
      </c>
      <c r="X351" t="s">
        <v>2834</v>
      </c>
      <c r="Y351" t="s">
        <v>2834</v>
      </c>
      <c r="Z351">
        <v>2</v>
      </c>
      <c r="AA351" t="s">
        <v>2789</v>
      </c>
      <c r="AB351">
        <v>0.25</v>
      </c>
      <c r="AC351" t="s">
        <v>2794</v>
      </c>
      <c r="AD351">
        <v>19355.962500000001</v>
      </c>
      <c r="AE351">
        <v>4343.5125000000007</v>
      </c>
      <c r="AF351">
        <v>0.22440178317146461</v>
      </c>
      <c r="AG351" t="s">
        <v>2828</v>
      </c>
      <c r="AH351">
        <v>2025</v>
      </c>
      <c r="AI351" t="s">
        <v>2835</v>
      </c>
    </row>
    <row r="352" spans="1:35">
      <c r="A352" t="s">
        <v>1154</v>
      </c>
      <c r="B352">
        <v>45298</v>
      </c>
      <c r="C352">
        <v>45305</v>
      </c>
      <c r="D352" t="s">
        <v>1155</v>
      </c>
      <c r="E352" t="s">
        <v>132</v>
      </c>
      <c r="F352" t="s">
        <v>37</v>
      </c>
      <c r="G352" t="s">
        <v>38</v>
      </c>
      <c r="H352" t="s">
        <v>228</v>
      </c>
      <c r="I352" t="s">
        <v>229</v>
      </c>
      <c r="J352" t="s">
        <v>41</v>
      </c>
      <c r="K352" t="s">
        <v>57</v>
      </c>
      <c r="L352" t="s">
        <v>1156</v>
      </c>
      <c r="M352" t="s">
        <v>31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102</v>
      </c>
      <c r="U352" t="s">
        <v>103</v>
      </c>
      <c r="V352" t="s">
        <v>2834</v>
      </c>
      <c r="W352" t="s">
        <v>2834</v>
      </c>
      <c r="X352" t="s">
        <v>2834</v>
      </c>
      <c r="Y352" t="s">
        <v>2834</v>
      </c>
      <c r="Z352">
        <v>7</v>
      </c>
      <c r="AA352" t="s">
        <v>2789</v>
      </c>
      <c r="AB352">
        <v>0.1</v>
      </c>
      <c r="AC352" t="s">
        <v>2794</v>
      </c>
      <c r="AD352">
        <v>11914.344000000001</v>
      </c>
      <c r="AE352">
        <v>2143.1040000000012</v>
      </c>
      <c r="AF352">
        <v>0.17987595456367561</v>
      </c>
      <c r="AG352" t="s">
        <v>2820</v>
      </c>
      <c r="AH352">
        <v>2024</v>
      </c>
      <c r="AI352" t="s">
        <v>2835</v>
      </c>
    </row>
    <row r="353" spans="1:35">
      <c r="A353" t="s">
        <v>1157</v>
      </c>
      <c r="B353">
        <v>45800</v>
      </c>
      <c r="C353">
        <v>45804</v>
      </c>
      <c r="D353" t="s">
        <v>1158</v>
      </c>
      <c r="E353" t="s">
        <v>71</v>
      </c>
      <c r="F353" t="s">
        <v>37</v>
      </c>
      <c r="G353" t="s">
        <v>54</v>
      </c>
      <c r="H353" t="s">
        <v>55</v>
      </c>
      <c r="I353" t="s">
        <v>56</v>
      </c>
      <c r="J353" t="s">
        <v>28</v>
      </c>
      <c r="K353" t="s">
        <v>124</v>
      </c>
      <c r="L353" t="s">
        <v>1159</v>
      </c>
      <c r="M353" t="s">
        <v>50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111</v>
      </c>
      <c r="U353" t="s">
        <v>68</v>
      </c>
      <c r="V353" t="s">
        <v>2834</v>
      </c>
      <c r="W353" t="s">
        <v>2834</v>
      </c>
      <c r="X353" t="s">
        <v>2834</v>
      </c>
      <c r="Y353" t="s">
        <v>2834</v>
      </c>
      <c r="Z353">
        <v>4</v>
      </c>
      <c r="AA353" t="s">
        <v>2789</v>
      </c>
      <c r="AB353">
        <v>0.25</v>
      </c>
      <c r="AC353" t="s">
        <v>2794</v>
      </c>
      <c r="AD353">
        <v>3237.4800000000005</v>
      </c>
      <c r="AE353">
        <v>1119.1400000000003</v>
      </c>
      <c r="AF353">
        <v>0.34568244437031276</v>
      </c>
      <c r="AG353" t="s">
        <v>2824</v>
      </c>
      <c r="AH353">
        <v>2025</v>
      </c>
      <c r="AI353" t="s">
        <v>2835</v>
      </c>
    </row>
    <row r="354" spans="1:35">
      <c r="A354" t="s">
        <v>1160</v>
      </c>
      <c r="B354">
        <v>45884</v>
      </c>
      <c r="C354">
        <v>45886</v>
      </c>
      <c r="D354" t="s">
        <v>1161</v>
      </c>
      <c r="E354" t="s">
        <v>162</v>
      </c>
      <c r="F354" t="s">
        <v>37</v>
      </c>
      <c r="G354" t="s">
        <v>38</v>
      </c>
      <c r="H354" t="s">
        <v>166</v>
      </c>
      <c r="I354" t="s">
        <v>167</v>
      </c>
      <c r="J354" t="s">
        <v>74</v>
      </c>
      <c r="K354" t="s">
        <v>80</v>
      </c>
      <c r="L354" t="s">
        <v>1162</v>
      </c>
      <c r="M354" t="s">
        <v>50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32</v>
      </c>
      <c r="U354" t="s">
        <v>33</v>
      </c>
      <c r="V354" t="s">
        <v>2834</v>
      </c>
      <c r="W354" t="s">
        <v>2834</v>
      </c>
      <c r="X354" t="s">
        <v>2834</v>
      </c>
      <c r="Y354" t="s">
        <v>2834</v>
      </c>
      <c r="Z354">
        <v>2</v>
      </c>
      <c r="AA354" t="s">
        <v>2789</v>
      </c>
      <c r="AB354">
        <v>0.25</v>
      </c>
      <c r="AC354" t="s">
        <v>2794</v>
      </c>
      <c r="AD354">
        <v>10734.75</v>
      </c>
      <c r="AE354">
        <v>4259.0200000000004</v>
      </c>
      <c r="AF354">
        <v>0.39675073942103917</v>
      </c>
      <c r="AG354" t="s">
        <v>2827</v>
      </c>
      <c r="AH354">
        <v>2025</v>
      </c>
      <c r="AI354" t="s">
        <v>2835</v>
      </c>
    </row>
    <row r="355" spans="1:35">
      <c r="A355" t="s">
        <v>1163</v>
      </c>
      <c r="B355">
        <v>45709</v>
      </c>
      <c r="C355">
        <v>45715</v>
      </c>
      <c r="D355" t="s">
        <v>1164</v>
      </c>
      <c r="E355" t="s">
        <v>62</v>
      </c>
      <c r="F355" t="s">
        <v>24</v>
      </c>
      <c r="G355" t="s">
        <v>25</v>
      </c>
      <c r="H355" t="s">
        <v>26</v>
      </c>
      <c r="I355" t="s">
        <v>27</v>
      </c>
      <c r="J355" t="s">
        <v>28</v>
      </c>
      <c r="K355" t="s">
        <v>48</v>
      </c>
      <c r="L355" t="s">
        <v>1165</v>
      </c>
      <c r="M355" t="s">
        <v>44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32</v>
      </c>
      <c r="U355" t="s">
        <v>33</v>
      </c>
      <c r="V355" t="s">
        <v>2834</v>
      </c>
      <c r="W355" t="s">
        <v>2834</v>
      </c>
      <c r="X355" t="s">
        <v>2834</v>
      </c>
      <c r="Y355" t="s">
        <v>2834</v>
      </c>
      <c r="Z355">
        <v>6</v>
      </c>
      <c r="AA355" t="s">
        <v>2789</v>
      </c>
      <c r="AB355">
        <v>0.2</v>
      </c>
      <c r="AC355" t="s">
        <v>2794</v>
      </c>
      <c r="AD355">
        <v>10308.024000000001</v>
      </c>
      <c r="AE355">
        <v>4485.7140000000009</v>
      </c>
      <c r="AF355">
        <v>0.4351672056642476</v>
      </c>
      <c r="AG355" t="s">
        <v>2821</v>
      </c>
      <c r="AH355">
        <v>2025</v>
      </c>
      <c r="AI355" t="s">
        <v>2835</v>
      </c>
    </row>
    <row r="356" spans="1:35">
      <c r="A356" t="s">
        <v>1166</v>
      </c>
      <c r="B356">
        <v>45653</v>
      </c>
      <c r="C356">
        <v>45657</v>
      </c>
      <c r="D356" t="s">
        <v>1167</v>
      </c>
      <c r="E356" t="s">
        <v>264</v>
      </c>
      <c r="F356" t="s">
        <v>90</v>
      </c>
      <c r="G356" t="s">
        <v>25</v>
      </c>
      <c r="H356" t="s">
        <v>122</v>
      </c>
      <c r="I356" t="s">
        <v>123</v>
      </c>
      <c r="J356" t="s">
        <v>41</v>
      </c>
      <c r="K356" t="s">
        <v>57</v>
      </c>
      <c r="L356" t="s">
        <v>1168</v>
      </c>
      <c r="M356" t="s">
        <v>59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111</v>
      </c>
      <c r="U356" t="s">
        <v>68</v>
      </c>
      <c r="V356" t="s">
        <v>2834</v>
      </c>
      <c r="W356" t="s">
        <v>2834</v>
      </c>
      <c r="X356" t="s">
        <v>2834</v>
      </c>
      <c r="Y356" t="s">
        <v>2834</v>
      </c>
      <c r="Z356">
        <v>4</v>
      </c>
      <c r="AA356" t="s">
        <v>2789</v>
      </c>
      <c r="AB356">
        <v>-0.06</v>
      </c>
      <c r="AC356" t="s">
        <v>2795</v>
      </c>
      <c r="AD356">
        <v>21285.520800000002</v>
      </c>
      <c r="AE356">
        <v>8376.6808000000019</v>
      </c>
      <c r="AF356">
        <v>0.39353891683965753</v>
      </c>
      <c r="AG356" t="s">
        <v>2831</v>
      </c>
      <c r="AH356">
        <v>2024</v>
      </c>
      <c r="AI356" t="s">
        <v>2836</v>
      </c>
    </row>
    <row r="357" spans="1:35">
      <c r="A357" t="s">
        <v>1169</v>
      </c>
      <c r="B357">
        <v>45424</v>
      </c>
      <c r="C357">
        <v>45421</v>
      </c>
      <c r="D357" t="s">
        <v>1170</v>
      </c>
      <c r="E357" t="s">
        <v>114</v>
      </c>
      <c r="F357" t="s">
        <v>90</v>
      </c>
      <c r="G357" t="s">
        <v>63</v>
      </c>
      <c r="H357" t="s">
        <v>26</v>
      </c>
      <c r="I357" t="s">
        <v>109</v>
      </c>
      <c r="J357" t="s">
        <v>41</v>
      </c>
      <c r="K357" t="s">
        <v>42</v>
      </c>
      <c r="L357" t="s">
        <v>1171</v>
      </c>
      <c r="M357" t="s">
        <v>59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111</v>
      </c>
      <c r="U357" t="s">
        <v>68</v>
      </c>
      <c r="V357" t="s">
        <v>2834</v>
      </c>
      <c r="W357" t="s">
        <v>2834</v>
      </c>
      <c r="X357" t="s">
        <v>2834</v>
      </c>
      <c r="Y357" t="s">
        <v>2837</v>
      </c>
      <c r="Z357">
        <v>-3</v>
      </c>
      <c r="AA357" t="s">
        <v>2789</v>
      </c>
      <c r="AB357">
        <v>0</v>
      </c>
      <c r="AC357" t="s">
        <v>2794</v>
      </c>
      <c r="AD357">
        <v>16017.4</v>
      </c>
      <c r="AE357">
        <v>6459.6</v>
      </c>
      <c r="AF357">
        <v>0.40328642601171227</v>
      </c>
      <c r="AG357" t="s">
        <v>2824</v>
      </c>
      <c r="AH357">
        <v>2024</v>
      </c>
      <c r="AI357" t="s">
        <v>2836</v>
      </c>
    </row>
    <row r="358" spans="1:35">
      <c r="A358" t="s">
        <v>1172</v>
      </c>
      <c r="B358">
        <v>45835</v>
      </c>
      <c r="C358">
        <v>45837</v>
      </c>
      <c r="D358" t="s">
        <v>1173</v>
      </c>
      <c r="E358" t="s">
        <v>141</v>
      </c>
      <c r="F358" t="s">
        <v>95</v>
      </c>
      <c r="G358" t="s">
        <v>54</v>
      </c>
      <c r="H358" t="s">
        <v>55</v>
      </c>
      <c r="I358" t="s">
        <v>56</v>
      </c>
      <c r="J358" t="s">
        <v>41</v>
      </c>
      <c r="K358" t="s">
        <v>66</v>
      </c>
      <c r="L358" t="s">
        <v>1174</v>
      </c>
      <c r="M358" t="s">
        <v>50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111</v>
      </c>
      <c r="U358" t="s">
        <v>103</v>
      </c>
      <c r="V358" t="s">
        <v>2834</v>
      </c>
      <c r="W358" t="s">
        <v>2834</v>
      </c>
      <c r="X358" t="s">
        <v>2834</v>
      </c>
      <c r="Y358" t="s">
        <v>2834</v>
      </c>
      <c r="Z358">
        <v>2</v>
      </c>
      <c r="AA358" t="s">
        <v>2789</v>
      </c>
      <c r="AB358">
        <v>0.2</v>
      </c>
      <c r="AC358" t="s">
        <v>2794</v>
      </c>
      <c r="AD358">
        <v>2486.8000000000002</v>
      </c>
      <c r="AE358">
        <v>355.07000000000016</v>
      </c>
      <c r="AF358">
        <v>0.1427818883705968</v>
      </c>
      <c r="AG358" t="s">
        <v>2825</v>
      </c>
      <c r="AH358">
        <v>2025</v>
      </c>
      <c r="AI358" t="s">
        <v>2835</v>
      </c>
    </row>
    <row r="359" spans="1:35">
      <c r="A359" t="s">
        <v>1175</v>
      </c>
      <c r="B359">
        <v>45678</v>
      </c>
      <c r="C359">
        <v>45686</v>
      </c>
      <c r="D359" t="s">
        <v>1176</v>
      </c>
      <c r="E359" t="s">
        <v>36</v>
      </c>
      <c r="F359" t="s">
        <v>95</v>
      </c>
      <c r="G359" t="s">
        <v>54</v>
      </c>
      <c r="H359" t="s">
        <v>84</v>
      </c>
      <c r="I359" t="s">
        <v>85</v>
      </c>
      <c r="J359" t="s">
        <v>74</v>
      </c>
      <c r="K359" t="s">
        <v>274</v>
      </c>
      <c r="L359" t="s">
        <v>1177</v>
      </c>
      <c r="M359" t="s">
        <v>31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32</v>
      </c>
      <c r="U359" t="s">
        <v>68</v>
      </c>
      <c r="V359" t="s">
        <v>2834</v>
      </c>
      <c r="W359" t="s">
        <v>2834</v>
      </c>
      <c r="X359" t="s">
        <v>2834</v>
      </c>
      <c r="Y359" t="s">
        <v>2834</v>
      </c>
      <c r="Z359">
        <v>8</v>
      </c>
      <c r="AA359" t="s">
        <v>2789</v>
      </c>
      <c r="AB359">
        <v>0</v>
      </c>
      <c r="AC359" t="s">
        <v>2794</v>
      </c>
      <c r="AD359">
        <v>4369.04</v>
      </c>
      <c r="AE359">
        <v>652.15999999999985</v>
      </c>
      <c r="AF359">
        <v>0.14926848918755603</v>
      </c>
      <c r="AG359" t="s">
        <v>2820</v>
      </c>
      <c r="AH359">
        <v>2025</v>
      </c>
      <c r="AI359" t="s">
        <v>2835</v>
      </c>
    </row>
    <row r="360" spans="1:35">
      <c r="A360" t="s">
        <v>1178</v>
      </c>
      <c r="B360">
        <v>45878</v>
      </c>
      <c r="C360">
        <v>45876</v>
      </c>
      <c r="D360" t="s">
        <v>1179</v>
      </c>
      <c r="E360" t="s">
        <v>71</v>
      </c>
      <c r="F360" t="s">
        <v>95</v>
      </c>
      <c r="G360" t="s">
        <v>63</v>
      </c>
      <c r="H360" t="s">
        <v>180</v>
      </c>
      <c r="I360" t="s">
        <v>181</v>
      </c>
      <c r="J360" t="s">
        <v>41</v>
      </c>
      <c r="K360" t="s">
        <v>158</v>
      </c>
      <c r="L360" t="s">
        <v>1180</v>
      </c>
      <c r="M360" t="s">
        <v>31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111</v>
      </c>
      <c r="U360" t="s">
        <v>103</v>
      </c>
      <c r="V360" t="s">
        <v>2834</v>
      </c>
      <c r="W360" t="s">
        <v>2834</v>
      </c>
      <c r="X360" t="s">
        <v>2834</v>
      </c>
      <c r="Y360" t="s">
        <v>2837</v>
      </c>
      <c r="Z360">
        <v>-2</v>
      </c>
      <c r="AA360" t="s">
        <v>2789</v>
      </c>
      <c r="AB360">
        <v>0.05</v>
      </c>
      <c r="AC360" t="s">
        <v>2794</v>
      </c>
      <c r="AD360">
        <v>5956.12</v>
      </c>
      <c r="AE360">
        <v>1576.9399999999996</v>
      </c>
      <c r="AF360">
        <v>0.26475960860425907</v>
      </c>
      <c r="AG360" t="s">
        <v>2827</v>
      </c>
      <c r="AH360">
        <v>2025</v>
      </c>
      <c r="AI360" t="s">
        <v>2836</v>
      </c>
    </row>
    <row r="361" spans="1:35">
      <c r="A361" t="s">
        <v>1181</v>
      </c>
      <c r="B361">
        <v>45525</v>
      </c>
      <c r="C361">
        <v>45526</v>
      </c>
      <c r="D361" t="s">
        <v>1182</v>
      </c>
      <c r="E361" t="s">
        <v>47</v>
      </c>
      <c r="F361" t="s">
        <v>24</v>
      </c>
      <c r="G361" t="s">
        <v>54</v>
      </c>
      <c r="H361" t="s">
        <v>247</v>
      </c>
      <c r="I361" t="s">
        <v>248</v>
      </c>
      <c r="J361" t="s">
        <v>74</v>
      </c>
      <c r="K361" t="s">
        <v>171</v>
      </c>
      <c r="L361" t="s">
        <v>1183</v>
      </c>
      <c r="M361" t="s">
        <v>44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32</v>
      </c>
      <c r="U361" t="s">
        <v>33</v>
      </c>
      <c r="V361" t="s">
        <v>2834</v>
      </c>
      <c r="W361" t="s">
        <v>2834</v>
      </c>
      <c r="X361" t="s">
        <v>2834</v>
      </c>
      <c r="Y361" t="s">
        <v>2834</v>
      </c>
      <c r="Z361">
        <v>1</v>
      </c>
      <c r="AA361" t="s">
        <v>2789</v>
      </c>
      <c r="AB361">
        <v>0.1</v>
      </c>
      <c r="AC361" t="s">
        <v>2794</v>
      </c>
      <c r="AD361">
        <v>4997.3760000000002</v>
      </c>
      <c r="AE361">
        <v>2025.9860000000003</v>
      </c>
      <c r="AF361">
        <v>0.40540995914656014</v>
      </c>
      <c r="AG361" t="s">
        <v>2827</v>
      </c>
      <c r="AH361">
        <v>2024</v>
      </c>
      <c r="AI361" t="s">
        <v>2835</v>
      </c>
    </row>
    <row r="362" spans="1:35">
      <c r="A362" t="s">
        <v>1184</v>
      </c>
      <c r="B362">
        <v>45460</v>
      </c>
      <c r="C362">
        <v>45463</v>
      </c>
      <c r="D362" t="s">
        <v>1185</v>
      </c>
      <c r="E362" t="s">
        <v>132</v>
      </c>
      <c r="F362" t="s">
        <v>37</v>
      </c>
      <c r="G362" t="s">
        <v>63</v>
      </c>
      <c r="H362" t="s">
        <v>180</v>
      </c>
      <c r="I362" t="s">
        <v>181</v>
      </c>
      <c r="J362" t="s">
        <v>41</v>
      </c>
      <c r="K362" t="s">
        <v>57</v>
      </c>
      <c r="L362" t="s">
        <v>1186</v>
      </c>
      <c r="M362" t="s">
        <v>59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102</v>
      </c>
      <c r="U362" t="s">
        <v>68</v>
      </c>
      <c r="V362" t="s">
        <v>2834</v>
      </c>
      <c r="W362" t="s">
        <v>2834</v>
      </c>
      <c r="X362" t="s">
        <v>2834</v>
      </c>
      <c r="Y362" t="s">
        <v>2834</v>
      </c>
      <c r="Z362">
        <v>3</v>
      </c>
      <c r="AA362" t="s">
        <v>2789</v>
      </c>
      <c r="AB362">
        <v>0.2</v>
      </c>
      <c r="AC362" t="s">
        <v>2794</v>
      </c>
      <c r="AD362">
        <v>17669.400000000001</v>
      </c>
      <c r="AE362">
        <v>3950.630000000001</v>
      </c>
      <c r="AF362">
        <v>0.2235859734908939</v>
      </c>
      <c r="AG362" t="s">
        <v>2825</v>
      </c>
      <c r="AH362">
        <v>2024</v>
      </c>
      <c r="AI362" t="s">
        <v>2835</v>
      </c>
    </row>
    <row r="363" spans="1:35">
      <c r="A363" t="s">
        <v>1187</v>
      </c>
      <c r="B363">
        <v>45748</v>
      </c>
      <c r="C363">
        <v>45749</v>
      </c>
      <c r="D363" t="s">
        <v>1188</v>
      </c>
      <c r="E363" t="s">
        <v>141</v>
      </c>
      <c r="F363" t="s">
        <v>90</v>
      </c>
      <c r="G363" t="s">
        <v>38</v>
      </c>
      <c r="H363" t="s">
        <v>39</v>
      </c>
      <c r="I363" t="s">
        <v>40</v>
      </c>
      <c r="J363" t="s">
        <v>41</v>
      </c>
      <c r="K363" t="s">
        <v>66</v>
      </c>
      <c r="L363" t="s">
        <v>1189</v>
      </c>
      <c r="M363" t="s">
        <v>31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111</v>
      </c>
      <c r="U363" t="s">
        <v>103</v>
      </c>
      <c r="V363" t="s">
        <v>2834</v>
      </c>
      <c r="W363" t="s">
        <v>2834</v>
      </c>
      <c r="X363" t="s">
        <v>2834</v>
      </c>
      <c r="Y363" t="s">
        <v>2834</v>
      </c>
      <c r="Z363">
        <v>1</v>
      </c>
      <c r="AA363" t="s">
        <v>2789</v>
      </c>
      <c r="AB363">
        <v>0.05</v>
      </c>
      <c r="AC363" t="s">
        <v>2794</v>
      </c>
      <c r="AD363">
        <v>35615.709000000003</v>
      </c>
      <c r="AE363">
        <v>15225.999000000003</v>
      </c>
      <c r="AF363">
        <v>0.42750795723314122</v>
      </c>
      <c r="AG363" t="s">
        <v>2823</v>
      </c>
      <c r="AH363">
        <v>2025</v>
      </c>
      <c r="AI363" t="s">
        <v>2835</v>
      </c>
    </row>
    <row r="364" spans="1:35">
      <c r="A364" t="s">
        <v>1190</v>
      </c>
      <c r="B364">
        <v>45527</v>
      </c>
      <c r="C364">
        <v>45529</v>
      </c>
      <c r="D364" t="s">
        <v>1191</v>
      </c>
      <c r="E364" t="s">
        <v>71</v>
      </c>
      <c r="F364" t="s">
        <v>24</v>
      </c>
      <c r="G364" t="s">
        <v>63</v>
      </c>
      <c r="H364" t="s">
        <v>190</v>
      </c>
      <c r="I364" t="s">
        <v>191</v>
      </c>
      <c r="J364" t="s">
        <v>74</v>
      </c>
      <c r="K364" t="s">
        <v>274</v>
      </c>
      <c r="L364" t="s">
        <v>1192</v>
      </c>
      <c r="M364" t="s">
        <v>44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32</v>
      </c>
      <c r="U364" t="s">
        <v>33</v>
      </c>
      <c r="V364" t="s">
        <v>2834</v>
      </c>
      <c r="W364" t="s">
        <v>2834</v>
      </c>
      <c r="X364" t="s">
        <v>2834</v>
      </c>
      <c r="Y364" t="s">
        <v>2834</v>
      </c>
      <c r="Z364">
        <v>2</v>
      </c>
      <c r="AA364" t="s">
        <v>2789</v>
      </c>
      <c r="AB364">
        <v>0.05</v>
      </c>
      <c r="AC364" t="s">
        <v>2794</v>
      </c>
      <c r="AD364">
        <v>1866.4079999999999</v>
      </c>
      <c r="AE364">
        <v>289.91799999999989</v>
      </c>
      <c r="AF364">
        <v>0.15533473924243782</v>
      </c>
      <c r="AG364" t="s">
        <v>2827</v>
      </c>
      <c r="AH364">
        <v>2024</v>
      </c>
      <c r="AI364" t="s">
        <v>2835</v>
      </c>
    </row>
    <row r="365" spans="1:35">
      <c r="A365" t="s">
        <v>1193</v>
      </c>
      <c r="B365">
        <v>45845</v>
      </c>
      <c r="C365">
        <v>45850</v>
      </c>
      <c r="D365" t="s">
        <v>1194</v>
      </c>
      <c r="E365" t="s">
        <v>162</v>
      </c>
      <c r="F365" t="s">
        <v>90</v>
      </c>
      <c r="G365" t="s">
        <v>38</v>
      </c>
      <c r="H365" t="s">
        <v>99</v>
      </c>
      <c r="I365" t="s">
        <v>100</v>
      </c>
      <c r="J365" t="s">
        <v>41</v>
      </c>
      <c r="K365" t="s">
        <v>42</v>
      </c>
      <c r="L365" t="s">
        <v>1195</v>
      </c>
      <c r="M365" t="s">
        <v>31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32</v>
      </c>
      <c r="U365" t="s">
        <v>33</v>
      </c>
      <c r="V365" t="s">
        <v>2834</v>
      </c>
      <c r="W365" t="s">
        <v>2834</v>
      </c>
      <c r="X365" t="s">
        <v>2834</v>
      </c>
      <c r="Y365" t="s">
        <v>2834</v>
      </c>
      <c r="Z365">
        <v>5</v>
      </c>
      <c r="AA365" t="s">
        <v>2789</v>
      </c>
      <c r="AB365">
        <v>0.25</v>
      </c>
      <c r="AC365" t="s">
        <v>2794</v>
      </c>
      <c r="AD365">
        <v>6867.6374999999989</v>
      </c>
      <c r="AE365">
        <v>1662.2774999999992</v>
      </c>
      <c r="AF365">
        <v>0.24204502640100028</v>
      </c>
      <c r="AG365" t="s">
        <v>2826</v>
      </c>
      <c r="AH365">
        <v>2025</v>
      </c>
      <c r="AI365" t="s">
        <v>2835</v>
      </c>
    </row>
    <row r="366" spans="1:35">
      <c r="A366" t="s">
        <v>1196</v>
      </c>
      <c r="B366">
        <v>45737</v>
      </c>
      <c r="C366">
        <v>45740</v>
      </c>
      <c r="D366" t="s">
        <v>1197</v>
      </c>
      <c r="E366" t="s">
        <v>128</v>
      </c>
      <c r="F366" t="s">
        <v>37</v>
      </c>
      <c r="G366" t="s">
        <v>54</v>
      </c>
      <c r="H366" t="s">
        <v>84</v>
      </c>
      <c r="I366" t="s">
        <v>85</v>
      </c>
      <c r="J366" t="s">
        <v>41</v>
      </c>
      <c r="K366" t="s">
        <v>66</v>
      </c>
      <c r="L366" t="s">
        <v>1198</v>
      </c>
      <c r="M366" t="s">
        <v>31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32</v>
      </c>
      <c r="U366" t="s">
        <v>33</v>
      </c>
      <c r="V366" t="s">
        <v>2834</v>
      </c>
      <c r="W366" t="s">
        <v>2834</v>
      </c>
      <c r="X366" t="s">
        <v>2834</v>
      </c>
      <c r="Y366" t="s">
        <v>2834</v>
      </c>
      <c r="Z366">
        <v>3</v>
      </c>
      <c r="AA366" t="s">
        <v>2789</v>
      </c>
      <c r="AB366">
        <v>0</v>
      </c>
      <c r="AC366" t="s">
        <v>2794</v>
      </c>
      <c r="AD366">
        <v>6195.75</v>
      </c>
      <c r="AE366">
        <v>2228.73</v>
      </c>
      <c r="AF366">
        <v>0.35971916232901585</v>
      </c>
      <c r="AG366" t="s">
        <v>2822</v>
      </c>
      <c r="AH366">
        <v>2025</v>
      </c>
      <c r="AI366" t="s">
        <v>2835</v>
      </c>
    </row>
    <row r="367" spans="1:35">
      <c r="A367" t="s">
        <v>1199</v>
      </c>
      <c r="B367">
        <v>45458</v>
      </c>
      <c r="C367">
        <v>45464</v>
      </c>
      <c r="D367" t="s">
        <v>1200</v>
      </c>
      <c r="E367" t="s">
        <v>89</v>
      </c>
      <c r="F367" t="s">
        <v>90</v>
      </c>
      <c r="G367" t="s">
        <v>63</v>
      </c>
      <c r="H367" t="s">
        <v>190</v>
      </c>
      <c r="I367" t="s">
        <v>191</v>
      </c>
      <c r="J367" t="s">
        <v>74</v>
      </c>
      <c r="K367" t="s">
        <v>75</v>
      </c>
      <c r="L367" t="s">
        <v>1201</v>
      </c>
      <c r="M367" t="s">
        <v>50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32</v>
      </c>
      <c r="U367" t="s">
        <v>33</v>
      </c>
      <c r="V367" t="s">
        <v>2834</v>
      </c>
      <c r="W367" t="s">
        <v>2834</v>
      </c>
      <c r="X367" t="s">
        <v>2834</v>
      </c>
      <c r="Y367" t="s">
        <v>2834</v>
      </c>
      <c r="Z367">
        <v>6</v>
      </c>
      <c r="AA367" t="s">
        <v>2789</v>
      </c>
      <c r="AB367">
        <v>0</v>
      </c>
      <c r="AC367" t="s">
        <v>2796</v>
      </c>
      <c r="AD367">
        <v>13651.2</v>
      </c>
      <c r="AE367">
        <v>3531.59</v>
      </c>
      <c r="AF367">
        <v>0.2587017991092358</v>
      </c>
      <c r="AG367" t="s">
        <v>2825</v>
      </c>
      <c r="AH367">
        <v>2024</v>
      </c>
      <c r="AI367" t="s">
        <v>2838</v>
      </c>
    </row>
    <row r="368" spans="1:35">
      <c r="A368" t="s">
        <v>1202</v>
      </c>
      <c r="B368">
        <v>45673</v>
      </c>
      <c r="C368">
        <v>45679</v>
      </c>
      <c r="D368" t="s">
        <v>1203</v>
      </c>
      <c r="E368" t="s">
        <v>132</v>
      </c>
      <c r="F368" t="s">
        <v>90</v>
      </c>
      <c r="G368" t="s">
        <v>25</v>
      </c>
      <c r="H368" t="s">
        <v>26</v>
      </c>
      <c r="I368" t="s">
        <v>27</v>
      </c>
      <c r="J368" t="s">
        <v>41</v>
      </c>
      <c r="K368" t="s">
        <v>42</v>
      </c>
      <c r="L368" t="s">
        <v>1204</v>
      </c>
      <c r="M368" t="s">
        <v>44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32</v>
      </c>
      <c r="U368" t="s">
        <v>33</v>
      </c>
      <c r="V368" t="s">
        <v>2834</v>
      </c>
      <c r="W368" t="s">
        <v>2834</v>
      </c>
      <c r="X368" t="s">
        <v>2834</v>
      </c>
      <c r="Y368" t="s">
        <v>2834</v>
      </c>
      <c r="Z368">
        <v>6</v>
      </c>
      <c r="AA368" t="s">
        <v>2789</v>
      </c>
      <c r="AB368">
        <v>0</v>
      </c>
      <c r="AC368" t="s">
        <v>2794</v>
      </c>
      <c r="AD368">
        <v>8836.56</v>
      </c>
      <c r="AE368">
        <v>2968.8099999999995</v>
      </c>
      <c r="AF368">
        <v>0.33596897435201023</v>
      </c>
      <c r="AG368" t="s">
        <v>2820</v>
      </c>
      <c r="AH368">
        <v>2025</v>
      </c>
      <c r="AI368" t="s">
        <v>2835</v>
      </c>
    </row>
    <row r="369" spans="1:35">
      <c r="A369" t="s">
        <v>1205</v>
      </c>
      <c r="B369">
        <v>45366</v>
      </c>
      <c r="C369">
        <v>45367</v>
      </c>
      <c r="D369" t="s">
        <v>1206</v>
      </c>
      <c r="E369" t="s">
        <v>141</v>
      </c>
      <c r="F369" t="s">
        <v>24</v>
      </c>
      <c r="G369" t="s">
        <v>25</v>
      </c>
      <c r="H369" t="s">
        <v>350</v>
      </c>
      <c r="I369" t="s">
        <v>351</v>
      </c>
      <c r="J369" t="s">
        <v>28</v>
      </c>
      <c r="K369" t="s">
        <v>48</v>
      </c>
      <c r="L369" t="s">
        <v>1207</v>
      </c>
      <c r="M369" t="s">
        <v>59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155</v>
      </c>
      <c r="U369" t="s">
        <v>68</v>
      </c>
      <c r="V369" t="s">
        <v>2834</v>
      </c>
      <c r="W369" t="s">
        <v>2834</v>
      </c>
      <c r="X369" t="s">
        <v>2834</v>
      </c>
      <c r="Y369" t="s">
        <v>2834</v>
      </c>
      <c r="Z369">
        <v>1</v>
      </c>
      <c r="AA369" t="s">
        <v>2789</v>
      </c>
      <c r="AB369">
        <v>0.15</v>
      </c>
      <c r="AC369" t="s">
        <v>2794</v>
      </c>
      <c r="AD369">
        <v>19456.958999999999</v>
      </c>
      <c r="AE369">
        <v>4936.8989999999994</v>
      </c>
      <c r="AF369">
        <v>0.25373435797443988</v>
      </c>
      <c r="AG369" t="s">
        <v>2822</v>
      </c>
      <c r="AH369">
        <v>2024</v>
      </c>
      <c r="AI369" t="s">
        <v>2835</v>
      </c>
    </row>
    <row r="370" spans="1:35">
      <c r="A370" t="s">
        <v>1208</v>
      </c>
      <c r="B370">
        <v>45844</v>
      </c>
      <c r="C370">
        <v>45844</v>
      </c>
      <c r="D370" t="s">
        <v>1209</v>
      </c>
      <c r="E370" t="s">
        <v>128</v>
      </c>
      <c r="F370" t="s">
        <v>95</v>
      </c>
      <c r="G370" t="s">
        <v>25</v>
      </c>
      <c r="H370" t="s">
        <v>26</v>
      </c>
      <c r="I370" t="s">
        <v>27</v>
      </c>
      <c r="J370" t="s">
        <v>74</v>
      </c>
      <c r="K370" t="s">
        <v>75</v>
      </c>
      <c r="L370" t="s">
        <v>1210</v>
      </c>
      <c r="M370" t="s">
        <v>44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102</v>
      </c>
      <c r="U370" t="s">
        <v>103</v>
      </c>
      <c r="V370" t="s">
        <v>2834</v>
      </c>
      <c r="W370" t="s">
        <v>2834</v>
      </c>
      <c r="X370" t="s">
        <v>2834</v>
      </c>
      <c r="Y370" t="s">
        <v>2834</v>
      </c>
      <c r="Z370">
        <v>0</v>
      </c>
      <c r="AA370" t="s">
        <v>2789</v>
      </c>
      <c r="AB370">
        <v>0.05</v>
      </c>
      <c r="AC370" t="s">
        <v>2794</v>
      </c>
      <c r="AD370">
        <v>2079.2745</v>
      </c>
      <c r="AE370">
        <v>567.10449999999992</v>
      </c>
      <c r="AF370">
        <v>0.27274152595051782</v>
      </c>
      <c r="AG370" t="s">
        <v>2826</v>
      </c>
      <c r="AH370">
        <v>2025</v>
      </c>
      <c r="AI370" t="s">
        <v>2835</v>
      </c>
    </row>
    <row r="371" spans="1:35">
      <c r="A371" t="s">
        <v>1211</v>
      </c>
      <c r="B371">
        <v>45680</v>
      </c>
      <c r="C371">
        <v>45687</v>
      </c>
      <c r="D371" t="s">
        <v>1212</v>
      </c>
      <c r="E371" t="s">
        <v>114</v>
      </c>
      <c r="F371" t="s">
        <v>24</v>
      </c>
      <c r="G371" t="s">
        <v>25</v>
      </c>
      <c r="H371" t="s">
        <v>350</v>
      </c>
      <c r="I371" t="s">
        <v>351</v>
      </c>
      <c r="J371" t="s">
        <v>28</v>
      </c>
      <c r="K371" t="s">
        <v>91</v>
      </c>
      <c r="L371" t="s">
        <v>1213</v>
      </c>
      <c r="M371" t="s">
        <v>59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32</v>
      </c>
      <c r="U371" t="s">
        <v>33</v>
      </c>
      <c r="V371" t="s">
        <v>2834</v>
      </c>
      <c r="W371" t="s">
        <v>2834</v>
      </c>
      <c r="X371" t="s">
        <v>2834</v>
      </c>
      <c r="Y371" t="s">
        <v>2834</v>
      </c>
      <c r="Z371">
        <v>7</v>
      </c>
      <c r="AA371" t="s">
        <v>2789</v>
      </c>
      <c r="AB371">
        <v>0.15</v>
      </c>
      <c r="AC371" t="s">
        <v>2794</v>
      </c>
      <c r="AD371">
        <v>8945.6804999999986</v>
      </c>
      <c r="AE371">
        <v>2205.3304999999982</v>
      </c>
      <c r="AF371">
        <v>0.24652462157574245</v>
      </c>
      <c r="AG371" t="s">
        <v>2820</v>
      </c>
      <c r="AH371">
        <v>2025</v>
      </c>
      <c r="AI371" t="s">
        <v>2835</v>
      </c>
    </row>
    <row r="372" spans="1:35">
      <c r="A372" t="s">
        <v>1214</v>
      </c>
      <c r="B372">
        <v>45519</v>
      </c>
      <c r="C372">
        <v>45525</v>
      </c>
      <c r="D372" t="s">
        <v>1215</v>
      </c>
      <c r="E372" t="s">
        <v>62</v>
      </c>
      <c r="F372" t="s">
        <v>37</v>
      </c>
      <c r="G372" t="s">
        <v>63</v>
      </c>
      <c r="H372" t="s">
        <v>26</v>
      </c>
      <c r="I372" t="s">
        <v>109</v>
      </c>
      <c r="J372" t="s">
        <v>74</v>
      </c>
      <c r="K372" t="s">
        <v>80</v>
      </c>
      <c r="L372" t="s">
        <v>1216</v>
      </c>
      <c r="M372" t="s">
        <v>50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32</v>
      </c>
      <c r="U372" t="s">
        <v>33</v>
      </c>
      <c r="V372" t="s">
        <v>2834</v>
      </c>
      <c r="W372" t="s">
        <v>2834</v>
      </c>
      <c r="X372" t="s">
        <v>2834</v>
      </c>
      <c r="Y372" t="s">
        <v>2834</v>
      </c>
      <c r="Z372">
        <v>6</v>
      </c>
      <c r="AA372" t="s">
        <v>2789</v>
      </c>
      <c r="AB372">
        <v>0.2</v>
      </c>
      <c r="AC372" t="s">
        <v>2794</v>
      </c>
      <c r="AD372">
        <v>13069.336000000001</v>
      </c>
      <c r="AE372">
        <v>4300.746000000001</v>
      </c>
      <c r="AF372">
        <v>0.32907149988339124</v>
      </c>
      <c r="AG372" t="s">
        <v>2827</v>
      </c>
      <c r="AH372">
        <v>2024</v>
      </c>
      <c r="AI372" t="s">
        <v>2835</v>
      </c>
    </row>
    <row r="373" spans="1:35">
      <c r="A373" t="s">
        <v>1217</v>
      </c>
      <c r="B373">
        <v>45313</v>
      </c>
      <c r="C373">
        <v>45315</v>
      </c>
      <c r="D373" t="s">
        <v>1218</v>
      </c>
      <c r="E373" t="s">
        <v>162</v>
      </c>
      <c r="F373" t="s">
        <v>95</v>
      </c>
      <c r="G373" t="s">
        <v>63</v>
      </c>
      <c r="H373" t="s">
        <v>64</v>
      </c>
      <c r="I373" t="s">
        <v>65</v>
      </c>
      <c r="J373" t="s">
        <v>28</v>
      </c>
      <c r="K373" t="s">
        <v>48</v>
      </c>
      <c r="L373" t="s">
        <v>1219</v>
      </c>
      <c r="M373" t="s">
        <v>59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102</v>
      </c>
      <c r="U373" t="s">
        <v>68</v>
      </c>
      <c r="V373" t="s">
        <v>2834</v>
      </c>
      <c r="W373" t="s">
        <v>2834</v>
      </c>
      <c r="X373" t="s">
        <v>2834</v>
      </c>
      <c r="Y373" t="s">
        <v>2834</v>
      </c>
      <c r="Z373">
        <v>2</v>
      </c>
      <c r="AA373" t="s">
        <v>2789</v>
      </c>
      <c r="AB373">
        <v>0</v>
      </c>
      <c r="AC373" t="s">
        <v>2796</v>
      </c>
      <c r="AD373">
        <v>6156.36</v>
      </c>
      <c r="AE373">
        <v>3174.4199999999996</v>
      </c>
      <c r="AF373">
        <v>0.51563261407714944</v>
      </c>
      <c r="AG373" t="s">
        <v>2820</v>
      </c>
      <c r="AH373">
        <v>2024</v>
      </c>
      <c r="AI373" t="s">
        <v>2838</v>
      </c>
    </row>
    <row r="374" spans="1:35">
      <c r="A374" t="s">
        <v>1220</v>
      </c>
      <c r="B374">
        <v>45885</v>
      </c>
      <c r="C374">
        <v>45887</v>
      </c>
      <c r="D374" t="s">
        <v>641</v>
      </c>
      <c r="E374" t="s">
        <v>264</v>
      </c>
      <c r="F374" t="s">
        <v>24</v>
      </c>
      <c r="G374" t="s">
        <v>38</v>
      </c>
      <c r="H374" t="s">
        <v>228</v>
      </c>
      <c r="I374" t="s">
        <v>229</v>
      </c>
      <c r="J374" t="s">
        <v>41</v>
      </c>
      <c r="K374" t="s">
        <v>66</v>
      </c>
      <c r="L374" t="s">
        <v>1221</v>
      </c>
      <c r="M374" t="s">
        <v>44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32</v>
      </c>
      <c r="U374" t="s">
        <v>33</v>
      </c>
      <c r="V374" t="s">
        <v>2834</v>
      </c>
      <c r="W374" t="s">
        <v>2834</v>
      </c>
      <c r="X374" t="s">
        <v>2834</v>
      </c>
      <c r="Y374" t="s">
        <v>2834</v>
      </c>
      <c r="Z374">
        <v>2</v>
      </c>
      <c r="AA374" t="s">
        <v>2789</v>
      </c>
      <c r="AB374">
        <v>0</v>
      </c>
      <c r="AC374" t="s">
        <v>2794</v>
      </c>
      <c r="AD374">
        <v>7651.7999999999993</v>
      </c>
      <c r="AE374">
        <v>2480.0199999999995</v>
      </c>
      <c r="AF374">
        <v>0.32410935988917638</v>
      </c>
      <c r="AG374" t="s">
        <v>2827</v>
      </c>
      <c r="AH374">
        <v>2025</v>
      </c>
      <c r="AI374" t="s">
        <v>2835</v>
      </c>
    </row>
    <row r="375" spans="1:35">
      <c r="A375" t="s">
        <v>1222</v>
      </c>
      <c r="B375">
        <v>45760</v>
      </c>
      <c r="C375">
        <v>45760</v>
      </c>
      <c r="D375" t="s">
        <v>1223</v>
      </c>
      <c r="E375" t="s">
        <v>132</v>
      </c>
      <c r="F375" t="s">
        <v>37</v>
      </c>
      <c r="G375" t="s">
        <v>25</v>
      </c>
      <c r="H375" t="s">
        <v>136</v>
      </c>
      <c r="I375" t="s">
        <v>137</v>
      </c>
      <c r="J375" t="s">
        <v>28</v>
      </c>
      <c r="K375" t="s">
        <v>124</v>
      </c>
      <c r="L375" t="s">
        <v>1224</v>
      </c>
      <c r="M375" t="s">
        <v>31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32</v>
      </c>
      <c r="U375" t="s">
        <v>33</v>
      </c>
      <c r="V375" t="s">
        <v>2834</v>
      </c>
      <c r="W375" t="s">
        <v>2834</v>
      </c>
      <c r="X375" t="s">
        <v>2834</v>
      </c>
      <c r="Y375" t="s">
        <v>2834</v>
      </c>
      <c r="Z375">
        <v>0</v>
      </c>
      <c r="AA375" t="s">
        <v>2790</v>
      </c>
      <c r="AB375">
        <v>0</v>
      </c>
      <c r="AC375" t="s">
        <v>2794</v>
      </c>
      <c r="AD375">
        <v>10068.120000000001</v>
      </c>
      <c r="AE375">
        <v>1472.75</v>
      </c>
      <c r="AF375">
        <v>0.14627855051389932</v>
      </c>
      <c r="AG375" t="s">
        <v>2823</v>
      </c>
      <c r="AH375">
        <v>2025</v>
      </c>
      <c r="AI375" t="s">
        <v>2836</v>
      </c>
    </row>
    <row r="376" spans="1:35">
      <c r="A376" t="s">
        <v>1225</v>
      </c>
      <c r="B376">
        <v>45715</v>
      </c>
      <c r="C376">
        <v>45716</v>
      </c>
      <c r="D376" t="s">
        <v>1226</v>
      </c>
      <c r="E376" t="s">
        <v>89</v>
      </c>
      <c r="F376" t="s">
        <v>37</v>
      </c>
      <c r="G376" t="s">
        <v>25</v>
      </c>
      <c r="H376" t="s">
        <v>136</v>
      </c>
      <c r="I376" t="s">
        <v>137</v>
      </c>
      <c r="J376" t="s">
        <v>28</v>
      </c>
      <c r="K376" t="s">
        <v>91</v>
      </c>
      <c r="L376" t="s">
        <v>1227</v>
      </c>
      <c r="M376" t="s">
        <v>59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32</v>
      </c>
      <c r="U376" t="s">
        <v>33</v>
      </c>
      <c r="V376" t="s">
        <v>2834</v>
      </c>
      <c r="W376" t="s">
        <v>2834</v>
      </c>
      <c r="X376" t="s">
        <v>2834</v>
      </c>
      <c r="Y376" t="s">
        <v>2834</v>
      </c>
      <c r="Z376">
        <v>1</v>
      </c>
      <c r="AA376" t="s">
        <v>2789</v>
      </c>
      <c r="AB376">
        <v>0</v>
      </c>
      <c r="AC376" t="s">
        <v>2794</v>
      </c>
      <c r="AD376">
        <v>14359.5</v>
      </c>
      <c r="AE376">
        <v>6241.79</v>
      </c>
      <c r="AF376">
        <v>0.43468017688638183</v>
      </c>
      <c r="AG376" t="s">
        <v>2821</v>
      </c>
      <c r="AH376">
        <v>2025</v>
      </c>
      <c r="AI376" t="s">
        <v>2835</v>
      </c>
    </row>
    <row r="377" spans="1:35">
      <c r="A377" t="s">
        <v>1228</v>
      </c>
      <c r="B377">
        <v>45657</v>
      </c>
      <c r="C377">
        <v>45661</v>
      </c>
      <c r="D377" t="s">
        <v>1229</v>
      </c>
      <c r="E377" t="s">
        <v>71</v>
      </c>
      <c r="F377" t="s">
        <v>24</v>
      </c>
      <c r="G377" t="s">
        <v>25</v>
      </c>
      <c r="H377" t="s">
        <v>350</v>
      </c>
      <c r="I377" t="s">
        <v>351</v>
      </c>
      <c r="J377" t="s">
        <v>41</v>
      </c>
      <c r="K377" t="s">
        <v>66</v>
      </c>
      <c r="L377" t="s">
        <v>1230</v>
      </c>
      <c r="M377" t="s">
        <v>44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32</v>
      </c>
      <c r="U377" t="s">
        <v>33</v>
      </c>
      <c r="V377" t="s">
        <v>2834</v>
      </c>
      <c r="W377" t="s">
        <v>2834</v>
      </c>
      <c r="X377" t="s">
        <v>2834</v>
      </c>
      <c r="Y377" t="s">
        <v>2834</v>
      </c>
      <c r="Z377">
        <v>4</v>
      </c>
      <c r="AA377" t="s">
        <v>2789</v>
      </c>
      <c r="AB377">
        <v>0.25</v>
      </c>
      <c r="AC377" t="s">
        <v>2794</v>
      </c>
      <c r="AD377">
        <v>2624.8724999999999</v>
      </c>
      <c r="AE377">
        <v>370.99249999999984</v>
      </c>
      <c r="AF377">
        <v>0.14133734114704613</v>
      </c>
      <c r="AG377" t="s">
        <v>2831</v>
      </c>
      <c r="AH377">
        <v>2024</v>
      </c>
      <c r="AI377" t="s">
        <v>2835</v>
      </c>
    </row>
    <row r="378" spans="1:35">
      <c r="A378" t="s">
        <v>1231</v>
      </c>
      <c r="B378">
        <v>45655</v>
      </c>
      <c r="C378">
        <v>45657</v>
      </c>
      <c r="D378" t="s">
        <v>1232</v>
      </c>
      <c r="E378" t="s">
        <v>47</v>
      </c>
      <c r="F378" t="s">
        <v>37</v>
      </c>
      <c r="G378" t="s">
        <v>38</v>
      </c>
      <c r="H378" t="s">
        <v>145</v>
      </c>
      <c r="I378" t="s">
        <v>146</v>
      </c>
      <c r="J378" t="s">
        <v>41</v>
      </c>
      <c r="K378" t="s">
        <v>66</v>
      </c>
      <c r="L378" t="s">
        <v>1233</v>
      </c>
      <c r="M378" t="s">
        <v>50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32</v>
      </c>
      <c r="U378" t="s">
        <v>33</v>
      </c>
      <c r="V378" t="s">
        <v>2834</v>
      </c>
      <c r="W378" t="s">
        <v>2834</v>
      </c>
      <c r="X378" t="s">
        <v>2834</v>
      </c>
      <c r="Y378" t="s">
        <v>2834</v>
      </c>
      <c r="Z378">
        <v>2</v>
      </c>
      <c r="AA378" t="s">
        <v>2789</v>
      </c>
      <c r="AB378">
        <v>0.2</v>
      </c>
      <c r="AC378" t="s">
        <v>2794</v>
      </c>
      <c r="AD378">
        <v>8854.9440000000013</v>
      </c>
      <c r="AE378">
        <v>1420.9940000000015</v>
      </c>
      <c r="AF378">
        <v>0.1604746455765278</v>
      </c>
      <c r="AG378" t="s">
        <v>2831</v>
      </c>
      <c r="AH378">
        <v>2024</v>
      </c>
      <c r="AI378" t="s">
        <v>2835</v>
      </c>
    </row>
    <row r="379" spans="1:35">
      <c r="A379" t="s">
        <v>1234</v>
      </c>
      <c r="B379">
        <v>45801</v>
      </c>
      <c r="C379">
        <v>45807</v>
      </c>
      <c r="D379" t="s">
        <v>1235</v>
      </c>
      <c r="E379" t="s">
        <v>264</v>
      </c>
      <c r="F379" t="s">
        <v>37</v>
      </c>
      <c r="G379" t="s">
        <v>38</v>
      </c>
      <c r="H379" t="s">
        <v>39</v>
      </c>
      <c r="I379" t="s">
        <v>40</v>
      </c>
      <c r="J379" t="s">
        <v>28</v>
      </c>
      <c r="K379" t="s">
        <v>124</v>
      </c>
      <c r="L379" t="s">
        <v>1236</v>
      </c>
      <c r="M379" t="s">
        <v>44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32</v>
      </c>
      <c r="U379" t="s">
        <v>33</v>
      </c>
      <c r="V379" t="s">
        <v>2834</v>
      </c>
      <c r="W379" t="s">
        <v>2834</v>
      </c>
      <c r="X379" t="s">
        <v>2834</v>
      </c>
      <c r="Y379" t="s">
        <v>2834</v>
      </c>
      <c r="Z379">
        <v>6</v>
      </c>
      <c r="AA379" t="s">
        <v>2789</v>
      </c>
      <c r="AB379">
        <v>0</v>
      </c>
      <c r="AC379" t="s">
        <v>2794</v>
      </c>
      <c r="AD379">
        <v>2564.7399999999998</v>
      </c>
      <c r="AE379">
        <v>810.15999999999985</v>
      </c>
      <c r="AF379">
        <v>0.31588387126960232</v>
      </c>
      <c r="AG379" t="s">
        <v>2824</v>
      </c>
      <c r="AH379">
        <v>2025</v>
      </c>
      <c r="AI379" t="s">
        <v>2835</v>
      </c>
    </row>
    <row r="380" spans="1:35">
      <c r="A380" t="s">
        <v>1237</v>
      </c>
      <c r="B380">
        <v>45799</v>
      </c>
      <c r="C380">
        <v>45799</v>
      </c>
      <c r="D380" t="s">
        <v>1238</v>
      </c>
      <c r="E380" t="s">
        <v>36</v>
      </c>
      <c r="F380" t="s">
        <v>24</v>
      </c>
      <c r="G380" t="s">
        <v>63</v>
      </c>
      <c r="H380" t="s">
        <v>190</v>
      </c>
      <c r="I380" t="s">
        <v>191</v>
      </c>
      <c r="J380" t="s">
        <v>74</v>
      </c>
      <c r="K380" t="s">
        <v>75</v>
      </c>
      <c r="L380" t="s">
        <v>1239</v>
      </c>
      <c r="M380" t="s">
        <v>59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32</v>
      </c>
      <c r="U380" t="s">
        <v>33</v>
      </c>
      <c r="V380" t="s">
        <v>2834</v>
      </c>
      <c r="W380" t="s">
        <v>2834</v>
      </c>
      <c r="X380" t="s">
        <v>2834</v>
      </c>
      <c r="Y380" t="s">
        <v>2834</v>
      </c>
      <c r="Z380">
        <v>0</v>
      </c>
      <c r="AA380" t="s">
        <v>2789</v>
      </c>
      <c r="AB380">
        <v>0</v>
      </c>
      <c r="AC380" t="s">
        <v>2794</v>
      </c>
      <c r="AD380">
        <v>7821.22</v>
      </c>
      <c r="AE380">
        <v>2826.76</v>
      </c>
      <c r="AF380">
        <v>0.36142187535959863</v>
      </c>
      <c r="AG380" t="s">
        <v>2824</v>
      </c>
      <c r="AH380">
        <v>2025</v>
      </c>
      <c r="AI380" t="s">
        <v>2835</v>
      </c>
    </row>
    <row r="381" spans="1:35">
      <c r="A381" t="s">
        <v>1240</v>
      </c>
      <c r="B381">
        <v>45554</v>
      </c>
      <c r="C381">
        <v>45558</v>
      </c>
      <c r="D381" t="s">
        <v>1241</v>
      </c>
      <c r="E381" t="s">
        <v>36</v>
      </c>
      <c r="F381" t="s">
        <v>37</v>
      </c>
      <c r="G381" t="s">
        <v>54</v>
      </c>
      <c r="H381" t="s">
        <v>185</v>
      </c>
      <c r="I381" t="s">
        <v>186</v>
      </c>
      <c r="J381" t="s">
        <v>28</v>
      </c>
      <c r="K381" t="s">
        <v>29</v>
      </c>
      <c r="L381" t="s">
        <v>1242</v>
      </c>
      <c r="M381" t="s">
        <v>59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32</v>
      </c>
      <c r="U381" t="s">
        <v>33</v>
      </c>
      <c r="V381" t="s">
        <v>2834</v>
      </c>
      <c r="W381" t="s">
        <v>2834</v>
      </c>
      <c r="X381" t="s">
        <v>2834</v>
      </c>
      <c r="Y381" t="s">
        <v>2834</v>
      </c>
      <c r="Z381">
        <v>4</v>
      </c>
      <c r="AA381" t="s">
        <v>2789</v>
      </c>
      <c r="AB381">
        <v>0</v>
      </c>
      <c r="AC381" t="s">
        <v>2796</v>
      </c>
      <c r="AD381">
        <v>7956.76</v>
      </c>
      <c r="AE381">
        <v>3157.2200000000003</v>
      </c>
      <c r="AF381">
        <v>0.39679718880549369</v>
      </c>
      <c r="AG381" t="s">
        <v>2828</v>
      </c>
      <c r="AH381">
        <v>2024</v>
      </c>
      <c r="AI381" t="s">
        <v>2838</v>
      </c>
    </row>
    <row r="382" spans="1:35">
      <c r="A382" t="s">
        <v>1243</v>
      </c>
      <c r="B382">
        <v>45389</v>
      </c>
      <c r="C382">
        <v>45396</v>
      </c>
      <c r="D382" t="s">
        <v>1244</v>
      </c>
      <c r="E382" t="s">
        <v>71</v>
      </c>
      <c r="F382" t="s">
        <v>24</v>
      </c>
      <c r="G382" t="s">
        <v>63</v>
      </c>
      <c r="H382" t="s">
        <v>64</v>
      </c>
      <c r="I382" t="s">
        <v>65</v>
      </c>
      <c r="J382" t="s">
        <v>41</v>
      </c>
      <c r="K382" t="s">
        <v>158</v>
      </c>
      <c r="L382" t="s">
        <v>1245</v>
      </c>
      <c r="M382" t="s">
        <v>44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32</v>
      </c>
      <c r="U382" t="s">
        <v>103</v>
      </c>
      <c r="V382" t="s">
        <v>2834</v>
      </c>
      <c r="W382" t="s">
        <v>2834</v>
      </c>
      <c r="X382" t="s">
        <v>2834</v>
      </c>
      <c r="Y382" t="s">
        <v>2834</v>
      </c>
      <c r="Z382">
        <v>7</v>
      </c>
      <c r="AA382" t="s">
        <v>2789</v>
      </c>
      <c r="AB382">
        <v>0.25</v>
      </c>
      <c r="AC382" t="s">
        <v>2794</v>
      </c>
      <c r="AD382">
        <v>8384.4375</v>
      </c>
      <c r="AE382">
        <v>3618.4775</v>
      </c>
      <c r="AF382">
        <v>0.43157069272685256</v>
      </c>
      <c r="AG382" t="s">
        <v>2823</v>
      </c>
      <c r="AH382">
        <v>2024</v>
      </c>
      <c r="AI382" t="s">
        <v>2835</v>
      </c>
    </row>
    <row r="383" spans="1:35">
      <c r="A383" t="s">
        <v>1246</v>
      </c>
      <c r="B383">
        <v>45919</v>
      </c>
      <c r="C383">
        <v>45923</v>
      </c>
      <c r="D383" t="s">
        <v>1247</v>
      </c>
      <c r="E383" t="s">
        <v>53</v>
      </c>
      <c r="F383" t="s">
        <v>95</v>
      </c>
      <c r="G383" t="s">
        <v>25</v>
      </c>
      <c r="H383" t="s">
        <v>350</v>
      </c>
      <c r="I383" t="s">
        <v>351</v>
      </c>
      <c r="J383" t="s">
        <v>28</v>
      </c>
      <c r="K383" t="s">
        <v>153</v>
      </c>
      <c r="L383" t="s">
        <v>1248</v>
      </c>
      <c r="M383" t="s">
        <v>59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155</v>
      </c>
      <c r="U383" t="s">
        <v>68</v>
      </c>
      <c r="V383" t="s">
        <v>2834</v>
      </c>
      <c r="W383" t="s">
        <v>2834</v>
      </c>
      <c r="X383" t="s">
        <v>2834</v>
      </c>
      <c r="Y383" t="s">
        <v>2834</v>
      </c>
      <c r="Z383">
        <v>4</v>
      </c>
      <c r="AA383" t="s">
        <v>2789</v>
      </c>
      <c r="AB383">
        <v>0.05</v>
      </c>
      <c r="AC383" t="s">
        <v>2794</v>
      </c>
      <c r="AD383">
        <v>16671.169999999998</v>
      </c>
      <c r="AE383">
        <v>5837.9799999999977</v>
      </c>
      <c r="AF383">
        <v>0.35018418023450054</v>
      </c>
      <c r="AG383" t="s">
        <v>2828</v>
      </c>
      <c r="AH383">
        <v>2025</v>
      </c>
      <c r="AI383" t="s">
        <v>2835</v>
      </c>
    </row>
    <row r="384" spans="1:35">
      <c r="A384" t="s">
        <v>1249</v>
      </c>
      <c r="B384">
        <v>45720</v>
      </c>
      <c r="C384">
        <v>45724</v>
      </c>
      <c r="D384" t="s">
        <v>157</v>
      </c>
      <c r="E384" t="s">
        <v>53</v>
      </c>
      <c r="F384" t="s">
        <v>37</v>
      </c>
      <c r="G384" t="s">
        <v>38</v>
      </c>
      <c r="H384" t="s">
        <v>145</v>
      </c>
      <c r="I384" t="s">
        <v>146</v>
      </c>
      <c r="J384" t="s">
        <v>74</v>
      </c>
      <c r="K384" t="s">
        <v>171</v>
      </c>
      <c r="L384" t="s">
        <v>1250</v>
      </c>
      <c r="M384" t="s">
        <v>50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32</v>
      </c>
      <c r="U384" t="s">
        <v>33</v>
      </c>
      <c r="V384" t="s">
        <v>2834</v>
      </c>
      <c r="W384" t="s">
        <v>2834</v>
      </c>
      <c r="X384" t="s">
        <v>2834</v>
      </c>
      <c r="Y384" t="s">
        <v>2834</v>
      </c>
      <c r="Z384">
        <v>4</v>
      </c>
      <c r="AA384" t="s">
        <v>2789</v>
      </c>
      <c r="AB384">
        <v>0.2</v>
      </c>
      <c r="AC384" t="s">
        <v>2794</v>
      </c>
      <c r="AD384">
        <v>10468.440000000002</v>
      </c>
      <c r="AE384">
        <v>2068.5700000000015</v>
      </c>
      <c r="AF384">
        <v>0.19760059760575607</v>
      </c>
      <c r="AG384" t="s">
        <v>2822</v>
      </c>
      <c r="AH384">
        <v>2025</v>
      </c>
      <c r="AI384" t="s">
        <v>2835</v>
      </c>
    </row>
    <row r="385" spans="1:35">
      <c r="A385" t="s">
        <v>1251</v>
      </c>
      <c r="B385">
        <v>45836</v>
      </c>
      <c r="C385">
        <v>45843</v>
      </c>
      <c r="D385" t="s">
        <v>1252</v>
      </c>
      <c r="E385" t="s">
        <v>71</v>
      </c>
      <c r="F385" t="s">
        <v>90</v>
      </c>
      <c r="G385" t="s">
        <v>38</v>
      </c>
      <c r="H385" t="s">
        <v>99</v>
      </c>
      <c r="I385" t="s">
        <v>100</v>
      </c>
      <c r="J385" t="s">
        <v>28</v>
      </c>
      <c r="K385" t="s">
        <v>48</v>
      </c>
      <c r="L385" t="s">
        <v>1253</v>
      </c>
      <c r="M385" t="s">
        <v>50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32</v>
      </c>
      <c r="U385" t="s">
        <v>68</v>
      </c>
      <c r="V385" t="s">
        <v>2834</v>
      </c>
      <c r="W385" t="s">
        <v>2834</v>
      </c>
      <c r="X385" t="s">
        <v>2834</v>
      </c>
      <c r="Y385" t="s">
        <v>2834</v>
      </c>
      <c r="Z385">
        <v>7</v>
      </c>
      <c r="AA385" t="s">
        <v>2789</v>
      </c>
      <c r="AB385">
        <v>0</v>
      </c>
      <c r="AC385" t="s">
        <v>2794</v>
      </c>
      <c r="AD385">
        <v>4485.5</v>
      </c>
      <c r="AE385">
        <v>1353.6399999999999</v>
      </c>
      <c r="AF385">
        <v>0.30178129528480657</v>
      </c>
      <c r="AG385" t="s">
        <v>2825</v>
      </c>
      <c r="AH385">
        <v>2025</v>
      </c>
      <c r="AI385" t="s">
        <v>2835</v>
      </c>
    </row>
    <row r="386" spans="1:35">
      <c r="A386" t="s">
        <v>1254</v>
      </c>
      <c r="B386">
        <v>45366</v>
      </c>
      <c r="C386">
        <v>45371</v>
      </c>
      <c r="D386" t="s">
        <v>1255</v>
      </c>
      <c r="E386" t="s">
        <v>141</v>
      </c>
      <c r="F386" t="s">
        <v>24</v>
      </c>
      <c r="G386" t="s">
        <v>38</v>
      </c>
      <c r="H386" t="s">
        <v>228</v>
      </c>
      <c r="I386" t="s">
        <v>229</v>
      </c>
      <c r="J386" t="s">
        <v>74</v>
      </c>
      <c r="K386" t="s">
        <v>80</v>
      </c>
      <c r="L386" t="s">
        <v>1256</v>
      </c>
      <c r="M386" t="s">
        <v>59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32</v>
      </c>
      <c r="U386" t="s">
        <v>103</v>
      </c>
      <c r="V386" t="s">
        <v>2834</v>
      </c>
      <c r="W386" t="s">
        <v>2834</v>
      </c>
      <c r="X386" t="s">
        <v>2834</v>
      </c>
      <c r="Y386" t="s">
        <v>2834</v>
      </c>
      <c r="Z386">
        <v>5</v>
      </c>
      <c r="AA386" t="s">
        <v>2789</v>
      </c>
      <c r="AB386">
        <v>0.25</v>
      </c>
      <c r="AC386" t="s">
        <v>2794</v>
      </c>
      <c r="AD386">
        <v>2822.1000000000004</v>
      </c>
      <c r="AE386">
        <v>1197.5300000000004</v>
      </c>
      <c r="AF386">
        <v>0.42434003047376079</v>
      </c>
      <c r="AG386" t="s">
        <v>2822</v>
      </c>
      <c r="AH386">
        <v>2024</v>
      </c>
      <c r="AI386" t="s">
        <v>2835</v>
      </c>
    </row>
    <row r="387" spans="1:35">
      <c r="A387" t="s">
        <v>1257</v>
      </c>
      <c r="B387">
        <v>45832</v>
      </c>
      <c r="C387">
        <v>45838</v>
      </c>
      <c r="D387" t="s">
        <v>1258</v>
      </c>
      <c r="E387" t="s">
        <v>53</v>
      </c>
      <c r="F387" t="s">
        <v>24</v>
      </c>
      <c r="G387" t="s">
        <v>25</v>
      </c>
      <c r="H387" t="s">
        <v>236</v>
      </c>
      <c r="I387" t="s">
        <v>237</v>
      </c>
      <c r="J387" t="s">
        <v>28</v>
      </c>
      <c r="K387" t="s">
        <v>91</v>
      </c>
      <c r="L387" t="s">
        <v>1259</v>
      </c>
      <c r="M387" t="s">
        <v>59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32</v>
      </c>
      <c r="U387" t="s">
        <v>33</v>
      </c>
      <c r="V387" t="s">
        <v>2834</v>
      </c>
      <c r="W387" t="s">
        <v>2834</v>
      </c>
      <c r="X387" t="s">
        <v>2834</v>
      </c>
      <c r="Y387" t="s">
        <v>2834</v>
      </c>
      <c r="Z387">
        <v>6</v>
      </c>
      <c r="AA387" t="s">
        <v>2789</v>
      </c>
      <c r="AB387">
        <v>0.1</v>
      </c>
      <c r="AC387" t="s">
        <v>2794</v>
      </c>
      <c r="AD387">
        <v>1975.104</v>
      </c>
      <c r="AE387">
        <v>859.75400000000013</v>
      </c>
      <c r="AF387">
        <v>0.4352955591199249</v>
      </c>
      <c r="AG387" t="s">
        <v>2825</v>
      </c>
      <c r="AH387">
        <v>2025</v>
      </c>
      <c r="AI387" t="s">
        <v>2835</v>
      </c>
    </row>
    <row r="388" spans="1:35">
      <c r="A388" t="s">
        <v>1260</v>
      </c>
      <c r="B388">
        <v>45700</v>
      </c>
      <c r="C388">
        <v>45702</v>
      </c>
      <c r="D388" t="s">
        <v>1261</v>
      </c>
      <c r="E388" t="s">
        <v>132</v>
      </c>
      <c r="F388" t="s">
        <v>24</v>
      </c>
      <c r="G388" t="s">
        <v>63</v>
      </c>
      <c r="H388" t="s">
        <v>64</v>
      </c>
      <c r="I388" t="s">
        <v>65</v>
      </c>
      <c r="J388" t="s">
        <v>41</v>
      </c>
      <c r="K388" t="s">
        <v>57</v>
      </c>
      <c r="L388" t="s">
        <v>1262</v>
      </c>
      <c r="M388" t="s">
        <v>31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32</v>
      </c>
      <c r="U388" t="s">
        <v>33</v>
      </c>
      <c r="V388" t="s">
        <v>2834</v>
      </c>
      <c r="W388" t="s">
        <v>2834</v>
      </c>
      <c r="X388" t="s">
        <v>2834</v>
      </c>
      <c r="Y388" t="s">
        <v>2834</v>
      </c>
      <c r="Z388">
        <v>2</v>
      </c>
      <c r="AA388" t="s">
        <v>2789</v>
      </c>
      <c r="AB388">
        <v>0.1</v>
      </c>
      <c r="AC388" t="s">
        <v>2794</v>
      </c>
      <c r="AD388">
        <v>20063.952000000001</v>
      </c>
      <c r="AE388">
        <v>5700.5720000000019</v>
      </c>
      <c r="AF388">
        <v>0.2841200975759911</v>
      </c>
      <c r="AG388" t="s">
        <v>2821</v>
      </c>
      <c r="AH388">
        <v>2025</v>
      </c>
      <c r="AI388" t="s">
        <v>2835</v>
      </c>
    </row>
    <row r="389" spans="1:35">
      <c r="A389" t="s">
        <v>1263</v>
      </c>
      <c r="B389">
        <v>45879</v>
      </c>
      <c r="C389">
        <v>45882</v>
      </c>
      <c r="D389" t="s">
        <v>1264</v>
      </c>
      <c r="E389" t="s">
        <v>114</v>
      </c>
      <c r="F389" t="s">
        <v>37</v>
      </c>
      <c r="G389" t="s">
        <v>63</v>
      </c>
      <c r="H389" t="s">
        <v>72</v>
      </c>
      <c r="I389" t="s">
        <v>73</v>
      </c>
      <c r="J389" t="s">
        <v>41</v>
      </c>
      <c r="K389" t="s">
        <v>66</v>
      </c>
      <c r="L389" t="s">
        <v>1265</v>
      </c>
      <c r="M389" t="s">
        <v>59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111</v>
      </c>
      <c r="U389" t="s">
        <v>68</v>
      </c>
      <c r="V389" t="s">
        <v>2834</v>
      </c>
      <c r="W389" t="s">
        <v>2834</v>
      </c>
      <c r="X389" t="s">
        <v>2834</v>
      </c>
      <c r="Y389" t="s">
        <v>2834</v>
      </c>
      <c r="Z389">
        <v>3</v>
      </c>
      <c r="AA389" t="s">
        <v>2789</v>
      </c>
      <c r="AB389">
        <v>0</v>
      </c>
      <c r="AC389" t="s">
        <v>2794</v>
      </c>
      <c r="AD389">
        <v>1764.3000000000002</v>
      </c>
      <c r="AE389">
        <v>431.81000000000017</v>
      </c>
      <c r="AF389">
        <v>0.24474862551720236</v>
      </c>
      <c r="AG389" t="s">
        <v>2827</v>
      </c>
      <c r="AH389">
        <v>2025</v>
      </c>
      <c r="AI389" t="s">
        <v>2835</v>
      </c>
    </row>
    <row r="390" spans="1:35">
      <c r="A390" t="s">
        <v>1266</v>
      </c>
      <c r="B390">
        <v>45425</v>
      </c>
      <c r="C390">
        <v>45430</v>
      </c>
      <c r="D390" t="s">
        <v>1267</v>
      </c>
      <c r="E390" t="s">
        <v>47</v>
      </c>
      <c r="F390" t="s">
        <v>37</v>
      </c>
      <c r="G390" t="s">
        <v>63</v>
      </c>
      <c r="H390" t="s">
        <v>180</v>
      </c>
      <c r="I390" t="s">
        <v>181</v>
      </c>
      <c r="J390" t="s">
        <v>41</v>
      </c>
      <c r="K390" t="s">
        <v>66</v>
      </c>
      <c r="L390" t="s">
        <v>1268</v>
      </c>
      <c r="M390" t="s">
        <v>59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32</v>
      </c>
      <c r="U390" t="s">
        <v>33</v>
      </c>
      <c r="V390" t="s">
        <v>2834</v>
      </c>
      <c r="W390" t="s">
        <v>2834</v>
      </c>
      <c r="X390" t="s">
        <v>2834</v>
      </c>
      <c r="Y390" t="s">
        <v>2834</v>
      </c>
      <c r="Z390">
        <v>5</v>
      </c>
      <c r="AA390" t="s">
        <v>2789</v>
      </c>
      <c r="AB390">
        <v>0</v>
      </c>
      <c r="AC390" t="s">
        <v>2794</v>
      </c>
      <c r="AD390">
        <v>9385.77</v>
      </c>
      <c r="AE390">
        <v>2513.3300000000008</v>
      </c>
      <c r="AF390">
        <v>0.26778090662779941</v>
      </c>
      <c r="AG390" t="s">
        <v>2824</v>
      </c>
      <c r="AH390">
        <v>2024</v>
      </c>
      <c r="AI390" t="s">
        <v>2835</v>
      </c>
    </row>
    <row r="391" spans="1:35">
      <c r="A391" t="s">
        <v>1269</v>
      </c>
      <c r="B391">
        <v>45387</v>
      </c>
      <c r="C391">
        <v>45395</v>
      </c>
      <c r="D391" t="s">
        <v>1270</v>
      </c>
      <c r="E391" t="s">
        <v>162</v>
      </c>
      <c r="F391" t="s">
        <v>90</v>
      </c>
      <c r="G391" t="s">
        <v>63</v>
      </c>
      <c r="H391" t="s">
        <v>180</v>
      </c>
      <c r="I391" t="s">
        <v>181</v>
      </c>
      <c r="J391" t="s">
        <v>74</v>
      </c>
      <c r="K391" t="s">
        <v>274</v>
      </c>
      <c r="L391" t="s">
        <v>1271</v>
      </c>
      <c r="M391" t="s">
        <v>31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111</v>
      </c>
      <c r="U391" t="s">
        <v>68</v>
      </c>
      <c r="V391" t="s">
        <v>2834</v>
      </c>
      <c r="W391" t="s">
        <v>2834</v>
      </c>
      <c r="X391" t="s">
        <v>2834</v>
      </c>
      <c r="Y391" t="s">
        <v>2834</v>
      </c>
      <c r="Z391">
        <v>8</v>
      </c>
      <c r="AA391" t="s">
        <v>2789</v>
      </c>
      <c r="AB391">
        <v>0.2</v>
      </c>
      <c r="AC391" t="s">
        <v>2794</v>
      </c>
      <c r="AD391">
        <v>7750.1600000000008</v>
      </c>
      <c r="AE391">
        <v>2315.8600000000006</v>
      </c>
      <c r="AF391">
        <v>0.29881447608823564</v>
      </c>
      <c r="AG391" t="s">
        <v>2823</v>
      </c>
      <c r="AH391">
        <v>2024</v>
      </c>
      <c r="AI391" t="s">
        <v>2835</v>
      </c>
    </row>
    <row r="392" spans="1:35">
      <c r="A392" t="s">
        <v>1272</v>
      </c>
      <c r="B392">
        <v>45602</v>
      </c>
      <c r="C392">
        <v>45607</v>
      </c>
      <c r="D392" t="s">
        <v>1273</v>
      </c>
      <c r="E392" t="s">
        <v>47</v>
      </c>
      <c r="F392" t="s">
        <v>24</v>
      </c>
      <c r="G392" t="s">
        <v>63</v>
      </c>
      <c r="H392" t="s">
        <v>180</v>
      </c>
      <c r="I392" t="s">
        <v>181</v>
      </c>
      <c r="J392" t="s">
        <v>41</v>
      </c>
      <c r="K392" t="s">
        <v>57</v>
      </c>
      <c r="L392" t="s">
        <v>1274</v>
      </c>
      <c r="M392" t="s">
        <v>59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32</v>
      </c>
      <c r="U392" t="s">
        <v>33</v>
      </c>
      <c r="V392" t="s">
        <v>2834</v>
      </c>
      <c r="W392" t="s">
        <v>2834</v>
      </c>
      <c r="X392" t="s">
        <v>2834</v>
      </c>
      <c r="Y392" t="s">
        <v>2834</v>
      </c>
      <c r="Z392">
        <v>5</v>
      </c>
      <c r="AA392" t="s">
        <v>2789</v>
      </c>
      <c r="AB392">
        <v>0.2</v>
      </c>
      <c r="AC392" t="s">
        <v>2794</v>
      </c>
      <c r="AD392">
        <v>6135.232</v>
      </c>
      <c r="AE392">
        <v>2695.442</v>
      </c>
      <c r="AF392">
        <v>0.43933823529411764</v>
      </c>
      <c r="AG392" t="s">
        <v>2830</v>
      </c>
      <c r="AH392">
        <v>2024</v>
      </c>
      <c r="AI392" t="s">
        <v>2835</v>
      </c>
    </row>
    <row r="393" spans="1:35">
      <c r="A393" t="s">
        <v>1275</v>
      </c>
      <c r="B393">
        <v>45702</v>
      </c>
      <c r="C393">
        <v>45702</v>
      </c>
      <c r="D393" t="s">
        <v>1276</v>
      </c>
      <c r="E393" t="s">
        <v>162</v>
      </c>
      <c r="F393" t="s">
        <v>24</v>
      </c>
      <c r="G393" t="s">
        <v>54</v>
      </c>
      <c r="H393" t="s">
        <v>175</v>
      </c>
      <c r="I393" t="s">
        <v>176</v>
      </c>
      <c r="J393" t="s">
        <v>28</v>
      </c>
      <c r="K393" t="s">
        <v>124</v>
      </c>
      <c r="L393" t="s">
        <v>1277</v>
      </c>
      <c r="M393" t="s">
        <v>50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32</v>
      </c>
      <c r="U393" t="s">
        <v>33</v>
      </c>
      <c r="V393" t="s">
        <v>2834</v>
      </c>
      <c r="W393" t="s">
        <v>2834</v>
      </c>
      <c r="X393" t="s">
        <v>2834</v>
      </c>
      <c r="Y393" t="s">
        <v>2834</v>
      </c>
      <c r="Z393">
        <v>0</v>
      </c>
      <c r="AA393" t="s">
        <v>2789</v>
      </c>
      <c r="AB393">
        <v>0</v>
      </c>
      <c r="AC393" t="s">
        <v>2794</v>
      </c>
      <c r="AD393">
        <v>714.43</v>
      </c>
      <c r="AE393">
        <v>148.9899999999999</v>
      </c>
      <c r="AF393">
        <v>0.20854387413742412</v>
      </c>
      <c r="AG393" t="s">
        <v>2821</v>
      </c>
      <c r="AH393">
        <v>2025</v>
      </c>
      <c r="AI393" t="s">
        <v>2835</v>
      </c>
    </row>
    <row r="394" spans="1:35">
      <c r="A394" t="s">
        <v>1278</v>
      </c>
      <c r="B394">
        <v>45341</v>
      </c>
      <c r="C394">
        <v>45344</v>
      </c>
      <c r="D394" t="s">
        <v>1279</v>
      </c>
      <c r="E394" t="s">
        <v>89</v>
      </c>
      <c r="F394" t="s">
        <v>37</v>
      </c>
      <c r="G394" t="s">
        <v>54</v>
      </c>
      <c r="H394" t="s">
        <v>185</v>
      </c>
      <c r="I394" t="s">
        <v>186</v>
      </c>
      <c r="J394" t="s">
        <v>41</v>
      </c>
      <c r="K394" t="s">
        <v>57</v>
      </c>
      <c r="L394" t="s">
        <v>1280</v>
      </c>
      <c r="M394" t="s">
        <v>44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32</v>
      </c>
      <c r="U394" t="s">
        <v>33</v>
      </c>
      <c r="V394" t="s">
        <v>2834</v>
      </c>
      <c r="W394" t="s">
        <v>2834</v>
      </c>
      <c r="X394" t="s">
        <v>2834</v>
      </c>
      <c r="Y394" t="s">
        <v>2834</v>
      </c>
      <c r="Z394">
        <v>3</v>
      </c>
      <c r="AA394" t="s">
        <v>2789</v>
      </c>
      <c r="AB394">
        <v>0</v>
      </c>
      <c r="AC394" t="s">
        <v>2794</v>
      </c>
      <c r="AD394">
        <v>36477.090000000004</v>
      </c>
      <c r="AE394">
        <v>11951.610000000004</v>
      </c>
      <c r="AF394">
        <v>0.32764702447481425</v>
      </c>
      <c r="AG394" t="s">
        <v>2821</v>
      </c>
      <c r="AH394">
        <v>2024</v>
      </c>
      <c r="AI394" t="s">
        <v>2835</v>
      </c>
    </row>
    <row r="395" spans="1:35">
      <c r="A395" t="s">
        <v>1281</v>
      </c>
      <c r="B395">
        <v>45527</v>
      </c>
      <c r="C395">
        <v>45533</v>
      </c>
      <c r="D395" t="s">
        <v>1282</v>
      </c>
      <c r="E395" t="s">
        <v>36</v>
      </c>
      <c r="F395" t="s">
        <v>90</v>
      </c>
      <c r="G395" t="s">
        <v>25</v>
      </c>
      <c r="H395" t="s">
        <v>136</v>
      </c>
      <c r="I395" t="s">
        <v>137</v>
      </c>
      <c r="J395" t="s">
        <v>28</v>
      </c>
      <c r="K395" t="s">
        <v>91</v>
      </c>
      <c r="L395" t="s">
        <v>1283</v>
      </c>
      <c r="M395" t="s">
        <v>44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32</v>
      </c>
      <c r="U395" t="s">
        <v>33</v>
      </c>
      <c r="V395" t="s">
        <v>2834</v>
      </c>
      <c r="W395" t="s">
        <v>2834</v>
      </c>
      <c r="X395" t="s">
        <v>2834</v>
      </c>
      <c r="Y395" t="s">
        <v>2834</v>
      </c>
      <c r="Z395">
        <v>6</v>
      </c>
      <c r="AA395" t="s">
        <v>2789</v>
      </c>
      <c r="AB395">
        <v>0.05</v>
      </c>
      <c r="AC395" t="s">
        <v>2794</v>
      </c>
      <c r="AD395">
        <v>3680.1289999999999</v>
      </c>
      <c r="AE395">
        <v>712.66899999999987</v>
      </c>
      <c r="AF395">
        <v>0.19365326595888346</v>
      </c>
      <c r="AG395" t="s">
        <v>2827</v>
      </c>
      <c r="AH395">
        <v>2024</v>
      </c>
      <c r="AI395" t="s">
        <v>2835</v>
      </c>
    </row>
    <row r="396" spans="1:35">
      <c r="A396" t="s">
        <v>1284</v>
      </c>
      <c r="B396">
        <v>45385</v>
      </c>
      <c r="C396">
        <v>45386</v>
      </c>
      <c r="D396" t="s">
        <v>1285</v>
      </c>
      <c r="E396" t="s">
        <v>264</v>
      </c>
      <c r="F396" t="s">
        <v>24</v>
      </c>
      <c r="G396" t="s">
        <v>63</v>
      </c>
      <c r="H396" t="s">
        <v>64</v>
      </c>
      <c r="I396" t="s">
        <v>65</v>
      </c>
      <c r="J396" t="s">
        <v>41</v>
      </c>
      <c r="K396" t="s">
        <v>57</v>
      </c>
      <c r="L396" t="s">
        <v>1286</v>
      </c>
      <c r="M396" t="s">
        <v>50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32</v>
      </c>
      <c r="U396" t="s">
        <v>33</v>
      </c>
      <c r="V396" t="s">
        <v>2834</v>
      </c>
      <c r="W396" t="s">
        <v>2834</v>
      </c>
      <c r="X396" t="s">
        <v>2834</v>
      </c>
      <c r="Y396" t="s">
        <v>2834</v>
      </c>
      <c r="Z396">
        <v>1</v>
      </c>
      <c r="AA396" t="s">
        <v>2789</v>
      </c>
      <c r="AB396">
        <v>0</v>
      </c>
      <c r="AC396" t="s">
        <v>2794</v>
      </c>
      <c r="AD396">
        <v>27616.47</v>
      </c>
      <c r="AE396">
        <v>6391.2100000000028</v>
      </c>
      <c r="AF396">
        <v>0.23142747787823725</v>
      </c>
      <c r="AG396" t="s">
        <v>2823</v>
      </c>
      <c r="AH396">
        <v>2024</v>
      </c>
      <c r="AI396" t="s">
        <v>2835</v>
      </c>
    </row>
    <row r="397" spans="1:35">
      <c r="A397" t="s">
        <v>1287</v>
      </c>
      <c r="B397">
        <v>45449</v>
      </c>
      <c r="C397">
        <v>45450</v>
      </c>
      <c r="D397" t="s">
        <v>1288</v>
      </c>
      <c r="E397" t="s">
        <v>118</v>
      </c>
      <c r="F397" t="s">
        <v>95</v>
      </c>
      <c r="G397" t="s">
        <v>54</v>
      </c>
      <c r="H397" t="s">
        <v>247</v>
      </c>
      <c r="I397" t="s">
        <v>248</v>
      </c>
      <c r="J397" t="s">
        <v>41</v>
      </c>
      <c r="K397" t="s">
        <v>42</v>
      </c>
      <c r="L397" t="s">
        <v>1289</v>
      </c>
      <c r="M397" t="s">
        <v>44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32</v>
      </c>
      <c r="U397" t="s">
        <v>33</v>
      </c>
      <c r="V397" t="s">
        <v>2834</v>
      </c>
      <c r="W397" t="s">
        <v>2834</v>
      </c>
      <c r="X397" t="s">
        <v>2834</v>
      </c>
      <c r="Y397" t="s">
        <v>2834</v>
      </c>
      <c r="Z397">
        <v>1</v>
      </c>
      <c r="AA397" t="s">
        <v>2789</v>
      </c>
      <c r="AB397">
        <v>0.05</v>
      </c>
      <c r="AC397" t="s">
        <v>2794</v>
      </c>
      <c r="AD397">
        <v>5731.7014999999992</v>
      </c>
      <c r="AE397">
        <v>1616.1414999999988</v>
      </c>
      <c r="AF397">
        <v>0.28196539893084088</v>
      </c>
      <c r="AG397" t="s">
        <v>2825</v>
      </c>
      <c r="AH397">
        <v>2024</v>
      </c>
      <c r="AI397" t="s">
        <v>2835</v>
      </c>
    </row>
    <row r="398" spans="1:35">
      <c r="A398" t="s">
        <v>1290</v>
      </c>
      <c r="B398">
        <v>45761</v>
      </c>
      <c r="C398">
        <v>45769</v>
      </c>
      <c r="D398" t="s">
        <v>1291</v>
      </c>
      <c r="E398" t="s">
        <v>89</v>
      </c>
      <c r="F398" t="s">
        <v>37</v>
      </c>
      <c r="G398" t="s">
        <v>54</v>
      </c>
      <c r="H398" t="s">
        <v>175</v>
      </c>
      <c r="I398" t="s">
        <v>176</v>
      </c>
      <c r="J398" t="s">
        <v>74</v>
      </c>
      <c r="K398" t="s">
        <v>274</v>
      </c>
      <c r="L398" t="s">
        <v>1292</v>
      </c>
      <c r="M398" t="s">
        <v>59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32</v>
      </c>
      <c r="U398" t="s">
        <v>33</v>
      </c>
      <c r="V398" t="s">
        <v>2834</v>
      </c>
      <c r="W398" t="s">
        <v>2834</v>
      </c>
      <c r="X398" t="s">
        <v>2834</v>
      </c>
      <c r="Y398" t="s">
        <v>2834</v>
      </c>
      <c r="Z398">
        <v>8</v>
      </c>
      <c r="AA398" t="s">
        <v>2789</v>
      </c>
      <c r="AB398">
        <v>0.05</v>
      </c>
      <c r="AC398" t="s">
        <v>2794</v>
      </c>
      <c r="AD398">
        <v>1213.587</v>
      </c>
      <c r="AE398">
        <v>257.36699999999996</v>
      </c>
      <c r="AF398">
        <v>0.21207132245154239</v>
      </c>
      <c r="AG398" t="s">
        <v>2823</v>
      </c>
      <c r="AH398">
        <v>2025</v>
      </c>
      <c r="AI398" t="s">
        <v>2835</v>
      </c>
    </row>
    <row r="399" spans="1:35">
      <c r="A399" t="s">
        <v>1293</v>
      </c>
      <c r="B399">
        <v>45817</v>
      </c>
      <c r="C399">
        <v>45818</v>
      </c>
      <c r="D399" t="s">
        <v>1294</v>
      </c>
      <c r="E399" t="s">
        <v>132</v>
      </c>
      <c r="F399" t="s">
        <v>37</v>
      </c>
      <c r="G399" t="s">
        <v>25</v>
      </c>
      <c r="H399" t="s">
        <v>136</v>
      </c>
      <c r="I399" t="s">
        <v>137</v>
      </c>
      <c r="J399" t="s">
        <v>41</v>
      </c>
      <c r="K399" t="s">
        <v>42</v>
      </c>
      <c r="L399" t="s">
        <v>1295</v>
      </c>
      <c r="M399" t="s">
        <v>31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32</v>
      </c>
      <c r="U399" t="s">
        <v>33</v>
      </c>
      <c r="V399" t="s">
        <v>2834</v>
      </c>
      <c r="W399" t="s">
        <v>2834</v>
      </c>
      <c r="X399" t="s">
        <v>2834</v>
      </c>
      <c r="Y399" t="s">
        <v>2834</v>
      </c>
      <c r="Z399">
        <v>1</v>
      </c>
      <c r="AA399" t="s">
        <v>2789</v>
      </c>
      <c r="AB399">
        <v>0</v>
      </c>
      <c r="AC399" t="s">
        <v>2794</v>
      </c>
      <c r="AD399">
        <v>3463.76</v>
      </c>
      <c r="AE399">
        <v>1320.0200000000004</v>
      </c>
      <c r="AF399">
        <v>0.38109453310852959</v>
      </c>
      <c r="AG399" t="s">
        <v>2825</v>
      </c>
      <c r="AH399">
        <v>2025</v>
      </c>
      <c r="AI399" t="s">
        <v>2835</v>
      </c>
    </row>
    <row r="400" spans="1:35">
      <c r="A400" t="s">
        <v>1296</v>
      </c>
      <c r="B400">
        <v>45492</v>
      </c>
      <c r="C400">
        <v>45499</v>
      </c>
      <c r="D400" t="s">
        <v>1297</v>
      </c>
      <c r="E400" t="s">
        <v>71</v>
      </c>
      <c r="F400" t="s">
        <v>90</v>
      </c>
      <c r="G400" t="s">
        <v>25</v>
      </c>
      <c r="H400" t="s">
        <v>122</v>
      </c>
      <c r="I400" t="s">
        <v>123</v>
      </c>
      <c r="J400" t="s">
        <v>74</v>
      </c>
      <c r="K400" t="s">
        <v>274</v>
      </c>
      <c r="L400" t="s">
        <v>1298</v>
      </c>
      <c r="M400" t="s">
        <v>44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32</v>
      </c>
      <c r="U400" t="s">
        <v>33</v>
      </c>
      <c r="V400" t="s">
        <v>2834</v>
      </c>
      <c r="W400" t="s">
        <v>2834</v>
      </c>
      <c r="X400" t="s">
        <v>2834</v>
      </c>
      <c r="Y400" t="s">
        <v>2834</v>
      </c>
      <c r="Z400">
        <v>7</v>
      </c>
      <c r="AA400" t="s">
        <v>2789</v>
      </c>
      <c r="AB400">
        <v>0.2</v>
      </c>
      <c r="AC400" t="s">
        <v>2794</v>
      </c>
      <c r="AD400">
        <v>2021.8400000000001</v>
      </c>
      <c r="AE400">
        <v>666.62000000000012</v>
      </c>
      <c r="AF400">
        <v>0.32970957147944452</v>
      </c>
      <c r="AG400" t="s">
        <v>2826</v>
      </c>
      <c r="AH400">
        <v>2024</v>
      </c>
      <c r="AI400" t="s">
        <v>2835</v>
      </c>
    </row>
    <row r="401" spans="1:35">
      <c r="A401" t="s">
        <v>1299</v>
      </c>
      <c r="B401">
        <v>45771</v>
      </c>
      <c r="C401">
        <v>45776</v>
      </c>
      <c r="D401" t="s">
        <v>1300</v>
      </c>
      <c r="E401" t="s">
        <v>162</v>
      </c>
      <c r="F401" t="s">
        <v>37</v>
      </c>
      <c r="G401" t="s">
        <v>54</v>
      </c>
      <c r="H401" t="s">
        <v>84</v>
      </c>
      <c r="I401" t="s">
        <v>85</v>
      </c>
      <c r="J401" t="s">
        <v>28</v>
      </c>
      <c r="K401" t="s">
        <v>29</v>
      </c>
      <c r="L401" t="s">
        <v>1301</v>
      </c>
      <c r="M401" t="s">
        <v>44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32</v>
      </c>
      <c r="U401" t="s">
        <v>33</v>
      </c>
      <c r="V401" t="s">
        <v>2834</v>
      </c>
      <c r="W401" t="s">
        <v>2834</v>
      </c>
      <c r="X401" t="s">
        <v>2834</v>
      </c>
      <c r="Y401" t="s">
        <v>2834</v>
      </c>
      <c r="Z401">
        <v>5</v>
      </c>
      <c r="AA401" t="s">
        <v>2789</v>
      </c>
      <c r="AB401">
        <v>0.25</v>
      </c>
      <c r="AC401" t="s">
        <v>2794</v>
      </c>
      <c r="AD401">
        <v>3268.875</v>
      </c>
      <c r="AE401">
        <v>1275.135</v>
      </c>
      <c r="AF401">
        <v>0.39008374440747962</v>
      </c>
      <c r="AG401" t="s">
        <v>2823</v>
      </c>
      <c r="AH401">
        <v>2025</v>
      </c>
      <c r="AI401" t="s">
        <v>2835</v>
      </c>
    </row>
    <row r="402" spans="1:35">
      <c r="A402" t="s">
        <v>1302</v>
      </c>
      <c r="B402">
        <v>45814</v>
      </c>
      <c r="C402">
        <v>45819</v>
      </c>
      <c r="D402" t="s">
        <v>1303</v>
      </c>
      <c r="E402" t="s">
        <v>132</v>
      </c>
      <c r="F402" t="s">
        <v>37</v>
      </c>
      <c r="G402" t="s">
        <v>25</v>
      </c>
      <c r="H402" t="s">
        <v>136</v>
      </c>
      <c r="I402" t="s">
        <v>137</v>
      </c>
      <c r="J402" t="s">
        <v>28</v>
      </c>
      <c r="K402" t="s">
        <v>29</v>
      </c>
      <c r="L402" t="s">
        <v>1304</v>
      </c>
      <c r="M402" t="s">
        <v>44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32</v>
      </c>
      <c r="U402" t="s">
        <v>33</v>
      </c>
      <c r="V402" t="s">
        <v>2834</v>
      </c>
      <c r="W402" t="s">
        <v>2834</v>
      </c>
      <c r="X402" t="s">
        <v>2834</v>
      </c>
      <c r="Y402" t="s">
        <v>2834</v>
      </c>
      <c r="Z402">
        <v>5</v>
      </c>
      <c r="AA402" t="s">
        <v>2789</v>
      </c>
      <c r="AB402">
        <v>-0.1</v>
      </c>
      <c r="AC402" t="s">
        <v>2795</v>
      </c>
      <c r="AD402">
        <v>6761.2930000000006</v>
      </c>
      <c r="AE402">
        <v>1883.9130000000005</v>
      </c>
      <c r="AF402">
        <v>0.27863206046535777</v>
      </c>
      <c r="AG402" t="s">
        <v>2825</v>
      </c>
      <c r="AH402">
        <v>2025</v>
      </c>
      <c r="AI402" t="s">
        <v>2836</v>
      </c>
    </row>
    <row r="403" spans="1:35">
      <c r="A403" t="s">
        <v>1305</v>
      </c>
      <c r="B403">
        <v>45725</v>
      </c>
      <c r="C403">
        <v>45732</v>
      </c>
      <c r="D403" t="s">
        <v>1306</v>
      </c>
      <c r="E403" t="s">
        <v>53</v>
      </c>
      <c r="F403" t="s">
        <v>37</v>
      </c>
      <c r="G403" t="s">
        <v>38</v>
      </c>
      <c r="H403" t="s">
        <v>228</v>
      </c>
      <c r="I403" t="s">
        <v>229</v>
      </c>
      <c r="J403" t="s">
        <v>41</v>
      </c>
      <c r="K403" t="s">
        <v>42</v>
      </c>
      <c r="L403" t="s">
        <v>1307</v>
      </c>
      <c r="M403" t="s">
        <v>44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32</v>
      </c>
      <c r="U403" t="s">
        <v>33</v>
      </c>
      <c r="V403" t="s">
        <v>2834</v>
      </c>
      <c r="W403" t="s">
        <v>2834</v>
      </c>
      <c r="X403" t="s">
        <v>2834</v>
      </c>
      <c r="Y403" t="s">
        <v>2834</v>
      </c>
      <c r="Z403">
        <v>7</v>
      </c>
      <c r="AA403" t="s">
        <v>2789</v>
      </c>
      <c r="AB403">
        <v>0</v>
      </c>
      <c r="AC403" t="s">
        <v>2794</v>
      </c>
      <c r="AD403">
        <v>7877.5499999999993</v>
      </c>
      <c r="AE403">
        <v>2314.7799999999988</v>
      </c>
      <c r="AF403">
        <v>0.29384516759652418</v>
      </c>
      <c r="AG403" t="s">
        <v>2822</v>
      </c>
      <c r="AH403">
        <v>2025</v>
      </c>
      <c r="AI403" t="s">
        <v>2835</v>
      </c>
    </row>
    <row r="404" spans="1:35">
      <c r="A404" t="s">
        <v>1308</v>
      </c>
      <c r="B404">
        <v>45373</v>
      </c>
      <c r="C404">
        <v>45373</v>
      </c>
      <c r="D404" t="s">
        <v>1309</v>
      </c>
      <c r="E404" t="s">
        <v>114</v>
      </c>
      <c r="F404" t="s">
        <v>37</v>
      </c>
      <c r="G404" t="s">
        <v>54</v>
      </c>
      <c r="H404" t="s">
        <v>175</v>
      </c>
      <c r="I404" t="s">
        <v>176</v>
      </c>
      <c r="J404" t="s">
        <v>41</v>
      </c>
      <c r="K404" t="s">
        <v>42</v>
      </c>
      <c r="L404" t="s">
        <v>1310</v>
      </c>
      <c r="M404" t="s">
        <v>2791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32</v>
      </c>
      <c r="U404" t="s">
        <v>33</v>
      </c>
      <c r="V404" t="s">
        <v>2834</v>
      </c>
      <c r="W404" t="s">
        <v>2834</v>
      </c>
      <c r="X404" t="s">
        <v>2834</v>
      </c>
      <c r="Y404" t="s">
        <v>2834</v>
      </c>
      <c r="Z404">
        <v>0</v>
      </c>
      <c r="AA404" t="s">
        <v>2789</v>
      </c>
      <c r="AB404">
        <v>0</v>
      </c>
      <c r="AC404" t="s">
        <v>2794</v>
      </c>
      <c r="AD404">
        <v>4095.7799999999997</v>
      </c>
      <c r="AE404">
        <v>1288.0099999999998</v>
      </c>
      <c r="AF404">
        <v>0.31447245701673426</v>
      </c>
      <c r="AG404" t="s">
        <v>2822</v>
      </c>
      <c r="AH404">
        <v>2024</v>
      </c>
      <c r="AI404" t="s">
        <v>2838</v>
      </c>
    </row>
    <row r="405" spans="1:35">
      <c r="A405" t="s">
        <v>1311</v>
      </c>
      <c r="B405">
        <v>45565</v>
      </c>
      <c r="C405">
        <v>45569</v>
      </c>
      <c r="D405" t="s">
        <v>1312</v>
      </c>
      <c r="E405" t="s">
        <v>53</v>
      </c>
      <c r="F405" t="s">
        <v>37</v>
      </c>
      <c r="G405" t="s">
        <v>54</v>
      </c>
      <c r="H405" t="s">
        <v>185</v>
      </c>
      <c r="I405" t="s">
        <v>186</v>
      </c>
      <c r="J405" t="s">
        <v>28</v>
      </c>
      <c r="K405" t="s">
        <v>29</v>
      </c>
      <c r="L405" t="s">
        <v>1313</v>
      </c>
      <c r="M405" t="s">
        <v>44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32</v>
      </c>
      <c r="U405" t="s">
        <v>103</v>
      </c>
      <c r="V405" t="s">
        <v>2834</v>
      </c>
      <c r="W405" t="s">
        <v>2834</v>
      </c>
      <c r="X405" t="s">
        <v>2834</v>
      </c>
      <c r="Y405" t="s">
        <v>2834</v>
      </c>
      <c r="Z405">
        <v>4</v>
      </c>
      <c r="AA405" t="s">
        <v>2789</v>
      </c>
      <c r="AB405">
        <v>0.05</v>
      </c>
      <c r="AC405" t="s">
        <v>2794</v>
      </c>
      <c r="AD405">
        <v>16683.1875</v>
      </c>
      <c r="AE405">
        <v>6382.0275000000001</v>
      </c>
      <c r="AF405">
        <v>0.38254245479168775</v>
      </c>
      <c r="AG405" t="s">
        <v>2828</v>
      </c>
      <c r="AH405">
        <v>2024</v>
      </c>
      <c r="AI405" t="s">
        <v>2835</v>
      </c>
    </row>
    <row r="406" spans="1:35">
      <c r="A406" t="s">
        <v>1314</v>
      </c>
      <c r="B406">
        <v>45318</v>
      </c>
      <c r="C406">
        <v>45325</v>
      </c>
      <c r="D406" t="s">
        <v>1315</v>
      </c>
      <c r="E406" t="s">
        <v>89</v>
      </c>
      <c r="F406" t="s">
        <v>90</v>
      </c>
      <c r="G406" t="s">
        <v>63</v>
      </c>
      <c r="H406" t="s">
        <v>26</v>
      </c>
      <c r="I406" t="s">
        <v>109</v>
      </c>
      <c r="J406" t="s">
        <v>41</v>
      </c>
      <c r="K406" t="s">
        <v>66</v>
      </c>
      <c r="L406" t="s">
        <v>1316</v>
      </c>
      <c r="M406" t="s">
        <v>44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32</v>
      </c>
      <c r="U406" t="s">
        <v>33</v>
      </c>
      <c r="V406" t="s">
        <v>2834</v>
      </c>
      <c r="W406" t="s">
        <v>2834</v>
      </c>
      <c r="X406" t="s">
        <v>2834</v>
      </c>
      <c r="Y406" t="s">
        <v>2834</v>
      </c>
      <c r="Z406">
        <v>7</v>
      </c>
      <c r="AA406" t="s">
        <v>2789</v>
      </c>
      <c r="AB406">
        <v>0</v>
      </c>
      <c r="AC406" t="s">
        <v>2794</v>
      </c>
      <c r="AD406">
        <v>1078.83</v>
      </c>
      <c r="AE406">
        <v>152.4799999999999</v>
      </c>
      <c r="AF406">
        <v>0.14133830167867034</v>
      </c>
      <c r="AG406" t="s">
        <v>2820</v>
      </c>
      <c r="AH406">
        <v>2024</v>
      </c>
      <c r="AI406" t="s">
        <v>2835</v>
      </c>
    </row>
    <row r="407" spans="1:35">
      <c r="A407" t="s">
        <v>1317</v>
      </c>
      <c r="B407">
        <v>45558</v>
      </c>
      <c r="C407">
        <v>45559</v>
      </c>
      <c r="D407" t="s">
        <v>1318</v>
      </c>
      <c r="E407" t="s">
        <v>89</v>
      </c>
      <c r="F407" t="s">
        <v>95</v>
      </c>
      <c r="G407" t="s">
        <v>63</v>
      </c>
      <c r="H407" t="s">
        <v>180</v>
      </c>
      <c r="I407" t="s">
        <v>181</v>
      </c>
      <c r="J407" t="s">
        <v>41</v>
      </c>
      <c r="K407" t="s">
        <v>158</v>
      </c>
      <c r="L407" t="s">
        <v>1319</v>
      </c>
      <c r="M407" t="s">
        <v>2791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32</v>
      </c>
      <c r="U407" t="s">
        <v>33</v>
      </c>
      <c r="V407" t="s">
        <v>2834</v>
      </c>
      <c r="W407" t="s">
        <v>2834</v>
      </c>
      <c r="X407" t="s">
        <v>2834</v>
      </c>
      <c r="Y407" t="s">
        <v>2834</v>
      </c>
      <c r="Z407">
        <v>1</v>
      </c>
      <c r="AA407" t="s">
        <v>2789</v>
      </c>
      <c r="AB407">
        <v>0.1</v>
      </c>
      <c r="AC407" t="s">
        <v>2794</v>
      </c>
      <c r="AD407">
        <v>24431.463</v>
      </c>
      <c r="AE407">
        <v>6229.1029999999992</v>
      </c>
      <c r="AF407">
        <v>0.25496234097810677</v>
      </c>
      <c r="AG407" t="s">
        <v>2828</v>
      </c>
      <c r="AH407">
        <v>2024</v>
      </c>
      <c r="AI407" t="s">
        <v>2838</v>
      </c>
    </row>
    <row r="408" spans="1:35">
      <c r="A408" t="s">
        <v>1320</v>
      </c>
      <c r="B408">
        <v>45713</v>
      </c>
      <c r="C408">
        <v>45713</v>
      </c>
      <c r="D408" t="s">
        <v>1321</v>
      </c>
      <c r="E408" t="s">
        <v>264</v>
      </c>
      <c r="F408" t="s">
        <v>37</v>
      </c>
      <c r="G408" t="s">
        <v>63</v>
      </c>
      <c r="H408" t="s">
        <v>190</v>
      </c>
      <c r="I408" t="s">
        <v>191</v>
      </c>
      <c r="J408" t="s">
        <v>41</v>
      </c>
      <c r="K408" t="s">
        <v>57</v>
      </c>
      <c r="L408" t="s">
        <v>1322</v>
      </c>
      <c r="M408" t="s">
        <v>59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111</v>
      </c>
      <c r="U408" t="s">
        <v>103</v>
      </c>
      <c r="V408" t="s">
        <v>2834</v>
      </c>
      <c r="W408" t="s">
        <v>2834</v>
      </c>
      <c r="X408" t="s">
        <v>2834</v>
      </c>
      <c r="Y408" t="s">
        <v>2834</v>
      </c>
      <c r="Z408">
        <v>0</v>
      </c>
      <c r="AA408" t="s">
        <v>2789</v>
      </c>
      <c r="AB408">
        <v>0.25</v>
      </c>
      <c r="AC408" t="s">
        <v>2794</v>
      </c>
      <c r="AD408">
        <v>5886.2999999999993</v>
      </c>
      <c r="AE408">
        <v>2264.5399999999991</v>
      </c>
      <c r="AF408">
        <v>0.38471365713606159</v>
      </c>
      <c r="AG408" t="s">
        <v>2821</v>
      </c>
      <c r="AH408">
        <v>2025</v>
      </c>
      <c r="AI408" t="s">
        <v>2835</v>
      </c>
    </row>
    <row r="409" spans="1:35">
      <c r="A409" t="s">
        <v>1323</v>
      </c>
      <c r="B409">
        <v>45424</v>
      </c>
      <c r="C409">
        <v>45425</v>
      </c>
      <c r="D409" t="s">
        <v>1324</v>
      </c>
      <c r="E409" t="s">
        <v>118</v>
      </c>
      <c r="F409" t="s">
        <v>90</v>
      </c>
      <c r="G409" t="s">
        <v>63</v>
      </c>
      <c r="H409" t="s">
        <v>190</v>
      </c>
      <c r="I409" t="s">
        <v>191</v>
      </c>
      <c r="J409" t="s">
        <v>28</v>
      </c>
      <c r="K409" t="s">
        <v>91</v>
      </c>
      <c r="L409" t="s">
        <v>1325</v>
      </c>
      <c r="M409" t="s">
        <v>31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32</v>
      </c>
      <c r="U409" t="s">
        <v>33</v>
      </c>
      <c r="V409" t="s">
        <v>2834</v>
      </c>
      <c r="W409" t="s">
        <v>2834</v>
      </c>
      <c r="X409" t="s">
        <v>2834</v>
      </c>
      <c r="Y409" t="s">
        <v>2834</v>
      </c>
      <c r="Z409">
        <v>1</v>
      </c>
      <c r="AA409" t="s">
        <v>2789</v>
      </c>
      <c r="AB409">
        <v>0</v>
      </c>
      <c r="AC409" t="s">
        <v>2794</v>
      </c>
      <c r="AD409">
        <v>7933.6500000000005</v>
      </c>
      <c r="AE409">
        <v>2235.2300000000005</v>
      </c>
      <c r="AF409">
        <v>0.2817404347305465</v>
      </c>
      <c r="AG409" t="s">
        <v>2824</v>
      </c>
      <c r="AH409">
        <v>2024</v>
      </c>
      <c r="AI409" t="s">
        <v>2835</v>
      </c>
    </row>
    <row r="410" spans="1:35">
      <c r="A410" t="s">
        <v>1326</v>
      </c>
      <c r="B410">
        <v>45870</v>
      </c>
      <c r="C410">
        <v>45872</v>
      </c>
      <c r="D410" t="s">
        <v>1327</v>
      </c>
      <c r="E410" t="s">
        <v>132</v>
      </c>
      <c r="F410" t="s">
        <v>24</v>
      </c>
      <c r="G410" t="s">
        <v>63</v>
      </c>
      <c r="H410" t="s">
        <v>64</v>
      </c>
      <c r="I410" t="s">
        <v>65</v>
      </c>
      <c r="J410" t="s">
        <v>41</v>
      </c>
      <c r="K410" t="s">
        <v>66</v>
      </c>
      <c r="L410" t="s">
        <v>1328</v>
      </c>
      <c r="M410" t="s">
        <v>50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155</v>
      </c>
      <c r="U410" t="s">
        <v>103</v>
      </c>
      <c r="V410" t="s">
        <v>2834</v>
      </c>
      <c r="W410" t="s">
        <v>2834</v>
      </c>
      <c r="X410" t="s">
        <v>2834</v>
      </c>
      <c r="Y410" t="s">
        <v>2834</v>
      </c>
      <c r="Z410">
        <v>2</v>
      </c>
      <c r="AA410" t="s">
        <v>2789</v>
      </c>
      <c r="AB410">
        <v>0</v>
      </c>
      <c r="AC410" t="s">
        <v>2794</v>
      </c>
      <c r="AD410">
        <v>7093.84</v>
      </c>
      <c r="AE410">
        <v>2506.3500000000004</v>
      </c>
      <c r="AF410">
        <v>0.35331357910525191</v>
      </c>
      <c r="AG410" t="s">
        <v>2827</v>
      </c>
      <c r="AH410">
        <v>2025</v>
      </c>
      <c r="AI410" t="s">
        <v>2835</v>
      </c>
    </row>
    <row r="411" spans="1:35">
      <c r="A411" t="s">
        <v>1329</v>
      </c>
      <c r="B411">
        <v>45701</v>
      </c>
      <c r="C411">
        <v>45703</v>
      </c>
      <c r="D411" t="s">
        <v>1330</v>
      </c>
      <c r="E411" t="s">
        <v>23</v>
      </c>
      <c r="F411" t="s">
        <v>24</v>
      </c>
      <c r="G411" t="s">
        <v>38</v>
      </c>
      <c r="H411" t="s">
        <v>166</v>
      </c>
      <c r="I411" t="s">
        <v>167</v>
      </c>
      <c r="J411" t="s">
        <v>74</v>
      </c>
      <c r="K411" t="s">
        <v>75</v>
      </c>
      <c r="L411" t="s">
        <v>1331</v>
      </c>
      <c r="M411" t="s">
        <v>44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102</v>
      </c>
      <c r="U411" t="s">
        <v>103</v>
      </c>
      <c r="V411" t="s">
        <v>2834</v>
      </c>
      <c r="W411" t="s">
        <v>2834</v>
      </c>
      <c r="X411" t="s">
        <v>2834</v>
      </c>
      <c r="Y411" t="s">
        <v>2834</v>
      </c>
      <c r="Z411">
        <v>2</v>
      </c>
      <c r="AA411" t="s">
        <v>2789</v>
      </c>
      <c r="AB411">
        <v>0.25</v>
      </c>
      <c r="AC411" t="s">
        <v>2794</v>
      </c>
      <c r="AD411">
        <v>2269.0950000000003</v>
      </c>
      <c r="AE411">
        <v>675.50500000000034</v>
      </c>
      <c r="AF411">
        <v>0.29769798091309541</v>
      </c>
      <c r="AG411" t="s">
        <v>2821</v>
      </c>
      <c r="AH411">
        <v>2025</v>
      </c>
      <c r="AI411" t="s">
        <v>2835</v>
      </c>
    </row>
    <row r="412" spans="1:35">
      <c r="A412" t="s">
        <v>1332</v>
      </c>
      <c r="B412">
        <v>45394</v>
      </c>
      <c r="C412">
        <v>45402</v>
      </c>
      <c r="D412" t="s">
        <v>1333</v>
      </c>
      <c r="E412" t="s">
        <v>162</v>
      </c>
      <c r="F412" t="s">
        <v>24</v>
      </c>
      <c r="G412" t="s">
        <v>63</v>
      </c>
      <c r="H412" t="s">
        <v>190</v>
      </c>
      <c r="I412" t="s">
        <v>191</v>
      </c>
      <c r="J412" t="s">
        <v>41</v>
      </c>
      <c r="K412" t="s">
        <v>42</v>
      </c>
      <c r="L412" t="s">
        <v>1334</v>
      </c>
      <c r="M412" t="s">
        <v>50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32</v>
      </c>
      <c r="U412" t="s">
        <v>33</v>
      </c>
      <c r="V412" t="s">
        <v>2834</v>
      </c>
      <c r="W412" t="s">
        <v>2834</v>
      </c>
      <c r="X412" t="s">
        <v>2834</v>
      </c>
      <c r="Y412" t="s">
        <v>2834</v>
      </c>
      <c r="Z412">
        <v>8</v>
      </c>
      <c r="AA412" t="s">
        <v>2789</v>
      </c>
      <c r="AB412">
        <v>0.2</v>
      </c>
      <c r="AC412" t="s">
        <v>2794</v>
      </c>
      <c r="AD412">
        <v>9378.7919999999995</v>
      </c>
      <c r="AE412">
        <v>2604.3119999999999</v>
      </c>
      <c r="AF412">
        <v>0.27768096360384154</v>
      </c>
      <c r="AG412" t="s">
        <v>2823</v>
      </c>
      <c r="AH412">
        <v>2024</v>
      </c>
      <c r="AI412" t="s">
        <v>2835</v>
      </c>
    </row>
    <row r="413" spans="1:35">
      <c r="A413" t="s">
        <v>1335</v>
      </c>
      <c r="B413">
        <v>45892</v>
      </c>
      <c r="C413">
        <v>45897</v>
      </c>
      <c r="D413" t="s">
        <v>1336</v>
      </c>
      <c r="E413" t="s">
        <v>53</v>
      </c>
      <c r="F413" t="s">
        <v>95</v>
      </c>
      <c r="G413" t="s">
        <v>63</v>
      </c>
      <c r="H413" t="s">
        <v>26</v>
      </c>
      <c r="I413" t="s">
        <v>109</v>
      </c>
      <c r="J413" t="s">
        <v>41</v>
      </c>
      <c r="K413" t="s">
        <v>42</v>
      </c>
      <c r="L413" t="s">
        <v>1337</v>
      </c>
      <c r="M413" t="s">
        <v>50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155</v>
      </c>
      <c r="U413" t="s">
        <v>103</v>
      </c>
      <c r="V413" t="s">
        <v>2834</v>
      </c>
      <c r="W413" t="s">
        <v>2834</v>
      </c>
      <c r="X413" t="s">
        <v>2834</v>
      </c>
      <c r="Y413" t="s">
        <v>2834</v>
      </c>
      <c r="Z413">
        <v>5</v>
      </c>
      <c r="AA413" t="s">
        <v>2789</v>
      </c>
      <c r="AB413">
        <v>0.2</v>
      </c>
      <c r="AC413" t="s">
        <v>2794</v>
      </c>
      <c r="AD413">
        <v>3334.2480000000005</v>
      </c>
      <c r="AE413">
        <v>565.47800000000052</v>
      </c>
      <c r="AF413">
        <v>0.16959686262089696</v>
      </c>
      <c r="AG413" t="s">
        <v>2827</v>
      </c>
      <c r="AH413">
        <v>2025</v>
      </c>
      <c r="AI413" t="s">
        <v>2835</v>
      </c>
    </row>
    <row r="414" spans="1:35">
      <c r="A414" t="s">
        <v>1338</v>
      </c>
      <c r="B414">
        <v>45313</v>
      </c>
      <c r="C414">
        <v>45321</v>
      </c>
      <c r="D414" t="s">
        <v>1339</v>
      </c>
      <c r="E414" t="s">
        <v>47</v>
      </c>
      <c r="F414" t="s">
        <v>90</v>
      </c>
      <c r="G414" t="s">
        <v>54</v>
      </c>
      <c r="H414" t="s">
        <v>175</v>
      </c>
      <c r="I414" t="s">
        <v>176</v>
      </c>
      <c r="J414" t="s">
        <v>41</v>
      </c>
      <c r="K414" t="s">
        <v>66</v>
      </c>
      <c r="L414" t="s">
        <v>1340</v>
      </c>
      <c r="M414" t="s">
        <v>44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32</v>
      </c>
      <c r="U414" t="s">
        <v>33</v>
      </c>
      <c r="V414" t="s">
        <v>2834</v>
      </c>
      <c r="W414" t="s">
        <v>2834</v>
      </c>
      <c r="X414" t="s">
        <v>2834</v>
      </c>
      <c r="Y414" t="s">
        <v>2834</v>
      </c>
      <c r="Z414">
        <v>8</v>
      </c>
      <c r="AA414" t="s">
        <v>2789</v>
      </c>
      <c r="AB414">
        <v>0.25</v>
      </c>
      <c r="AC414" t="s">
        <v>2794</v>
      </c>
      <c r="AD414">
        <v>1583.5425</v>
      </c>
      <c r="AE414">
        <v>569.35249999999996</v>
      </c>
      <c r="AF414">
        <v>0.35954355503562424</v>
      </c>
      <c r="AG414" t="s">
        <v>2820</v>
      </c>
      <c r="AH414">
        <v>2024</v>
      </c>
      <c r="AI414" t="s">
        <v>2835</v>
      </c>
    </row>
    <row r="415" spans="1:35">
      <c r="A415" t="s">
        <v>1341</v>
      </c>
      <c r="B415">
        <v>45882</v>
      </c>
      <c r="C415">
        <v>45886</v>
      </c>
      <c r="D415" t="s">
        <v>1342</v>
      </c>
      <c r="E415" t="s">
        <v>79</v>
      </c>
      <c r="F415" t="s">
        <v>95</v>
      </c>
      <c r="G415" t="s">
        <v>63</v>
      </c>
      <c r="H415" t="s">
        <v>72</v>
      </c>
      <c r="I415" t="s">
        <v>73</v>
      </c>
      <c r="J415" t="s">
        <v>74</v>
      </c>
      <c r="K415" t="s">
        <v>75</v>
      </c>
      <c r="L415" t="s">
        <v>1343</v>
      </c>
      <c r="M415" t="s">
        <v>31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111</v>
      </c>
      <c r="U415" t="s">
        <v>68</v>
      </c>
      <c r="V415" t="s">
        <v>2834</v>
      </c>
      <c r="W415" t="s">
        <v>2834</v>
      </c>
      <c r="X415" t="s">
        <v>2834</v>
      </c>
      <c r="Y415" t="s">
        <v>2834</v>
      </c>
      <c r="Z415">
        <v>4</v>
      </c>
      <c r="AA415" t="s">
        <v>2789</v>
      </c>
      <c r="AB415">
        <v>0</v>
      </c>
      <c r="AC415" t="s">
        <v>2794</v>
      </c>
      <c r="AD415">
        <v>15345.84</v>
      </c>
      <c r="AE415">
        <v>4610.51</v>
      </c>
      <c r="AF415">
        <v>0.30044037993358463</v>
      </c>
      <c r="AG415" t="s">
        <v>2827</v>
      </c>
      <c r="AH415">
        <v>2025</v>
      </c>
      <c r="AI415" t="s">
        <v>2835</v>
      </c>
    </row>
    <row r="416" spans="1:35">
      <c r="A416" t="s">
        <v>1344</v>
      </c>
      <c r="B416">
        <v>45533</v>
      </c>
      <c r="C416">
        <v>45534</v>
      </c>
      <c r="D416" t="s">
        <v>1345</v>
      </c>
      <c r="E416" t="s">
        <v>53</v>
      </c>
      <c r="F416" t="s">
        <v>95</v>
      </c>
      <c r="G416" t="s">
        <v>38</v>
      </c>
      <c r="H416" t="s">
        <v>166</v>
      </c>
      <c r="I416" t="s">
        <v>167</v>
      </c>
      <c r="J416" t="s">
        <v>28</v>
      </c>
      <c r="K416" t="s">
        <v>124</v>
      </c>
      <c r="L416" t="s">
        <v>1346</v>
      </c>
      <c r="M416" t="s">
        <v>50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32</v>
      </c>
      <c r="U416" t="s">
        <v>33</v>
      </c>
      <c r="V416" t="s">
        <v>2834</v>
      </c>
      <c r="W416" t="s">
        <v>2834</v>
      </c>
      <c r="X416" t="s">
        <v>2834</v>
      </c>
      <c r="Y416" t="s">
        <v>2834</v>
      </c>
      <c r="Z416">
        <v>1</v>
      </c>
      <c r="AA416" t="s">
        <v>2789</v>
      </c>
      <c r="AB416">
        <v>0.05</v>
      </c>
      <c r="AC416" t="s">
        <v>2794</v>
      </c>
      <c r="AD416">
        <v>9439.503999999999</v>
      </c>
      <c r="AE416">
        <v>3920.1139999999987</v>
      </c>
      <c r="AF416">
        <v>0.41528813378330037</v>
      </c>
      <c r="AG416" t="s">
        <v>2827</v>
      </c>
      <c r="AH416">
        <v>2024</v>
      </c>
      <c r="AI416" t="s">
        <v>2835</v>
      </c>
    </row>
    <row r="417" spans="1:35">
      <c r="A417" t="s">
        <v>1347</v>
      </c>
      <c r="B417">
        <v>45316</v>
      </c>
      <c r="C417">
        <v>45318</v>
      </c>
      <c r="D417" t="s">
        <v>1348</v>
      </c>
      <c r="E417" t="s">
        <v>128</v>
      </c>
      <c r="F417" t="s">
        <v>90</v>
      </c>
      <c r="G417" t="s">
        <v>54</v>
      </c>
      <c r="H417" t="s">
        <v>175</v>
      </c>
      <c r="I417" t="s">
        <v>176</v>
      </c>
      <c r="J417" t="s">
        <v>28</v>
      </c>
      <c r="K417" t="s">
        <v>124</v>
      </c>
      <c r="L417" t="s">
        <v>1349</v>
      </c>
      <c r="M417" t="s">
        <v>44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32</v>
      </c>
      <c r="U417" t="s">
        <v>103</v>
      </c>
      <c r="V417" t="s">
        <v>2834</v>
      </c>
      <c r="W417" t="s">
        <v>2834</v>
      </c>
      <c r="X417" t="s">
        <v>2834</v>
      </c>
      <c r="Y417" t="s">
        <v>2834</v>
      </c>
      <c r="Z417">
        <v>2</v>
      </c>
      <c r="AA417" t="s">
        <v>2789</v>
      </c>
      <c r="AB417">
        <v>0.15</v>
      </c>
      <c r="AC417" t="s">
        <v>2794</v>
      </c>
      <c r="AD417">
        <v>10277.197</v>
      </c>
      <c r="AE417">
        <v>2370.6970000000001</v>
      </c>
      <c r="AF417">
        <v>0.23067544584384245</v>
      </c>
      <c r="AG417" t="s">
        <v>2820</v>
      </c>
      <c r="AH417">
        <v>2024</v>
      </c>
      <c r="AI417" t="s">
        <v>2835</v>
      </c>
    </row>
    <row r="418" spans="1:35">
      <c r="A418" t="s">
        <v>1350</v>
      </c>
      <c r="B418">
        <v>45665</v>
      </c>
      <c r="C418">
        <v>45673</v>
      </c>
      <c r="D418" t="s">
        <v>1351</v>
      </c>
      <c r="E418" t="s">
        <v>79</v>
      </c>
      <c r="F418" t="s">
        <v>24</v>
      </c>
      <c r="G418" t="s">
        <v>54</v>
      </c>
      <c r="H418" t="s">
        <v>55</v>
      </c>
      <c r="I418" t="s">
        <v>56</v>
      </c>
      <c r="J418" t="s">
        <v>41</v>
      </c>
      <c r="K418" t="s">
        <v>57</v>
      </c>
      <c r="L418" t="s">
        <v>1352</v>
      </c>
      <c r="M418" t="s">
        <v>50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32</v>
      </c>
      <c r="U418" t="s">
        <v>33</v>
      </c>
      <c r="V418" t="s">
        <v>2834</v>
      </c>
      <c r="W418" t="s">
        <v>2834</v>
      </c>
      <c r="X418" t="s">
        <v>2834</v>
      </c>
      <c r="Y418" t="s">
        <v>2834</v>
      </c>
      <c r="Z418">
        <v>8</v>
      </c>
      <c r="AA418" t="s">
        <v>2789</v>
      </c>
      <c r="AB418">
        <v>0.25</v>
      </c>
      <c r="AC418" t="s">
        <v>2794</v>
      </c>
      <c r="AD418">
        <v>3833.7000000000003</v>
      </c>
      <c r="AE418">
        <v>947.35000000000036</v>
      </c>
      <c r="AF418">
        <v>0.24711114589039318</v>
      </c>
      <c r="AG418" t="s">
        <v>2820</v>
      </c>
      <c r="AH418">
        <v>2025</v>
      </c>
      <c r="AI418" t="s">
        <v>2835</v>
      </c>
    </row>
    <row r="419" spans="1:35">
      <c r="A419" t="s">
        <v>1353</v>
      </c>
      <c r="B419">
        <v>45686</v>
      </c>
      <c r="C419">
        <v>45693</v>
      </c>
      <c r="D419" t="s">
        <v>1354</v>
      </c>
      <c r="E419" t="s">
        <v>36</v>
      </c>
      <c r="F419" t="s">
        <v>24</v>
      </c>
      <c r="G419" t="s">
        <v>63</v>
      </c>
      <c r="H419" t="s">
        <v>180</v>
      </c>
      <c r="I419" t="s">
        <v>181</v>
      </c>
      <c r="J419" t="s">
        <v>28</v>
      </c>
      <c r="K419" t="s">
        <v>48</v>
      </c>
      <c r="L419" t="s">
        <v>1355</v>
      </c>
      <c r="M419" t="s">
        <v>50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32</v>
      </c>
      <c r="U419" t="s">
        <v>33</v>
      </c>
      <c r="V419" t="s">
        <v>2834</v>
      </c>
      <c r="W419" t="s">
        <v>2834</v>
      </c>
      <c r="X419" t="s">
        <v>2834</v>
      </c>
      <c r="Y419" t="s">
        <v>2834</v>
      </c>
      <c r="Z419">
        <v>7</v>
      </c>
      <c r="AA419" t="s">
        <v>2789</v>
      </c>
      <c r="AB419">
        <v>0.2</v>
      </c>
      <c r="AC419" t="s">
        <v>2794</v>
      </c>
      <c r="AD419">
        <v>18542.400000000001</v>
      </c>
      <c r="AE419">
        <v>7348.6500000000015</v>
      </c>
      <c r="AF419">
        <v>0.39631601087237905</v>
      </c>
      <c r="AG419" t="s">
        <v>2820</v>
      </c>
      <c r="AH419">
        <v>2025</v>
      </c>
      <c r="AI419" t="s">
        <v>2835</v>
      </c>
    </row>
    <row r="420" spans="1:35">
      <c r="A420" t="s">
        <v>1356</v>
      </c>
      <c r="B420">
        <v>45605</v>
      </c>
      <c r="C420">
        <v>45613</v>
      </c>
      <c r="D420" t="s">
        <v>1357</v>
      </c>
      <c r="E420" t="s">
        <v>132</v>
      </c>
      <c r="F420" t="s">
        <v>90</v>
      </c>
      <c r="G420" t="s">
        <v>38</v>
      </c>
      <c r="H420" t="s">
        <v>39</v>
      </c>
      <c r="I420" t="s">
        <v>40</v>
      </c>
      <c r="J420" t="s">
        <v>74</v>
      </c>
      <c r="K420" t="s">
        <v>80</v>
      </c>
      <c r="L420" t="s">
        <v>1358</v>
      </c>
      <c r="M420" t="s">
        <v>59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155</v>
      </c>
      <c r="U420" t="s">
        <v>68</v>
      </c>
      <c r="V420" t="s">
        <v>2834</v>
      </c>
      <c r="W420" t="s">
        <v>2834</v>
      </c>
      <c r="X420" t="s">
        <v>2834</v>
      </c>
      <c r="Y420" t="s">
        <v>2834</v>
      </c>
      <c r="Z420">
        <v>8</v>
      </c>
      <c r="AA420" t="s">
        <v>2789</v>
      </c>
      <c r="AB420">
        <v>0</v>
      </c>
      <c r="AC420" t="s">
        <v>2794</v>
      </c>
      <c r="AD420">
        <v>21962.400000000001</v>
      </c>
      <c r="AE420">
        <v>6630.4100000000017</v>
      </c>
      <c r="AF420">
        <v>0.3018982442720286</v>
      </c>
      <c r="AG420" t="s">
        <v>2830</v>
      </c>
      <c r="AH420">
        <v>2024</v>
      </c>
      <c r="AI420" t="s">
        <v>2835</v>
      </c>
    </row>
    <row r="421" spans="1:35">
      <c r="A421" t="s">
        <v>1359</v>
      </c>
      <c r="B421">
        <v>45926</v>
      </c>
      <c r="C421">
        <v>45930</v>
      </c>
      <c r="D421" t="s">
        <v>1360</v>
      </c>
      <c r="E421" t="s">
        <v>132</v>
      </c>
      <c r="F421" t="s">
        <v>95</v>
      </c>
      <c r="G421" t="s">
        <v>25</v>
      </c>
      <c r="H421" t="s">
        <v>236</v>
      </c>
      <c r="I421" t="s">
        <v>237</v>
      </c>
      <c r="J421" t="s">
        <v>74</v>
      </c>
      <c r="K421" t="s">
        <v>171</v>
      </c>
      <c r="L421" t="s">
        <v>1361</v>
      </c>
      <c r="M421" t="s">
        <v>44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32</v>
      </c>
      <c r="U421" t="s">
        <v>33</v>
      </c>
      <c r="V421" t="s">
        <v>2834</v>
      </c>
      <c r="W421" t="s">
        <v>2834</v>
      </c>
      <c r="X421" t="s">
        <v>2834</v>
      </c>
      <c r="Y421" t="s">
        <v>2834</v>
      </c>
      <c r="Z421">
        <v>4</v>
      </c>
      <c r="AA421" t="s">
        <v>2789</v>
      </c>
      <c r="AB421">
        <v>0.05</v>
      </c>
      <c r="AC421" t="s">
        <v>2794</v>
      </c>
      <c r="AD421">
        <v>1308.777</v>
      </c>
      <c r="AE421">
        <v>465.77700000000004</v>
      </c>
      <c r="AF421">
        <v>0.35588721378813964</v>
      </c>
      <c r="AG421" t="s">
        <v>2828</v>
      </c>
      <c r="AH421">
        <v>2025</v>
      </c>
      <c r="AI421" t="s">
        <v>2835</v>
      </c>
    </row>
    <row r="422" spans="1:35">
      <c r="A422" t="s">
        <v>1362</v>
      </c>
      <c r="B422">
        <v>45734</v>
      </c>
      <c r="C422">
        <v>45735</v>
      </c>
      <c r="D422" t="s">
        <v>1363</v>
      </c>
      <c r="E422" t="s">
        <v>47</v>
      </c>
      <c r="F422" t="s">
        <v>90</v>
      </c>
      <c r="G422" t="s">
        <v>54</v>
      </c>
      <c r="H422" t="s">
        <v>247</v>
      </c>
      <c r="I422" t="s">
        <v>248</v>
      </c>
      <c r="J422" t="s">
        <v>74</v>
      </c>
      <c r="K422" t="s">
        <v>274</v>
      </c>
      <c r="L422" t="s">
        <v>1364</v>
      </c>
      <c r="M422" t="s">
        <v>59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111</v>
      </c>
      <c r="U422" t="s">
        <v>68</v>
      </c>
      <c r="V422" t="s">
        <v>2834</v>
      </c>
      <c r="W422" t="s">
        <v>2834</v>
      </c>
      <c r="X422" t="s">
        <v>2834</v>
      </c>
      <c r="Y422" t="s">
        <v>2834</v>
      </c>
      <c r="Z422">
        <v>1</v>
      </c>
      <c r="AA422" t="s">
        <v>2789</v>
      </c>
      <c r="AB422">
        <v>0.25</v>
      </c>
      <c r="AC422" t="s">
        <v>2794</v>
      </c>
      <c r="AD422">
        <v>1814.9850000000001</v>
      </c>
      <c r="AE422">
        <v>694.92500000000018</v>
      </c>
      <c r="AF422">
        <v>0.38288195219244242</v>
      </c>
      <c r="AG422" t="s">
        <v>2822</v>
      </c>
      <c r="AH422">
        <v>2025</v>
      </c>
      <c r="AI422" t="s">
        <v>2835</v>
      </c>
    </row>
    <row r="423" spans="1:35">
      <c r="A423" t="s">
        <v>1365</v>
      </c>
      <c r="B423">
        <v>45822</v>
      </c>
      <c r="C423">
        <v>45827</v>
      </c>
      <c r="D423" t="s">
        <v>1366</v>
      </c>
      <c r="E423" t="s">
        <v>141</v>
      </c>
      <c r="F423" t="s">
        <v>37</v>
      </c>
      <c r="G423" t="s">
        <v>25</v>
      </c>
      <c r="H423" t="s">
        <v>350</v>
      </c>
      <c r="I423" t="s">
        <v>351</v>
      </c>
      <c r="J423" t="s">
        <v>28</v>
      </c>
      <c r="K423" t="s">
        <v>153</v>
      </c>
      <c r="L423" t="s">
        <v>1367</v>
      </c>
      <c r="M423" t="s">
        <v>44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111</v>
      </c>
      <c r="U423" t="s">
        <v>103</v>
      </c>
      <c r="V423" t="s">
        <v>2834</v>
      </c>
      <c r="W423" t="s">
        <v>2834</v>
      </c>
      <c r="X423" t="s">
        <v>2834</v>
      </c>
      <c r="Y423" t="s">
        <v>2834</v>
      </c>
      <c r="Z423">
        <v>5</v>
      </c>
      <c r="AA423" t="s">
        <v>2789</v>
      </c>
      <c r="AB423">
        <v>0.2</v>
      </c>
      <c r="AC423" t="s">
        <v>2794</v>
      </c>
      <c r="AD423">
        <v>2489.8800000000006</v>
      </c>
      <c r="AE423">
        <v>782.36000000000058</v>
      </c>
      <c r="AF423">
        <v>0.31421594615001541</v>
      </c>
      <c r="AG423" t="s">
        <v>2825</v>
      </c>
      <c r="AH423">
        <v>2025</v>
      </c>
      <c r="AI423" t="s">
        <v>2835</v>
      </c>
    </row>
    <row r="424" spans="1:35">
      <c r="A424" t="s">
        <v>1368</v>
      </c>
      <c r="B424">
        <v>45903</v>
      </c>
      <c r="C424">
        <v>45906</v>
      </c>
      <c r="D424" t="s">
        <v>1369</v>
      </c>
      <c r="E424" t="s">
        <v>264</v>
      </c>
      <c r="F424" t="s">
        <v>24</v>
      </c>
      <c r="G424" t="s">
        <v>63</v>
      </c>
      <c r="H424" t="s">
        <v>72</v>
      </c>
      <c r="I424" t="s">
        <v>73</v>
      </c>
      <c r="J424" t="s">
        <v>74</v>
      </c>
      <c r="K424" t="s">
        <v>80</v>
      </c>
      <c r="L424" t="s">
        <v>1370</v>
      </c>
      <c r="M424" t="s">
        <v>44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32</v>
      </c>
      <c r="U424" t="s">
        <v>33</v>
      </c>
      <c r="V424" t="s">
        <v>2834</v>
      </c>
      <c r="W424" t="s">
        <v>2834</v>
      </c>
      <c r="X424" t="s">
        <v>2834</v>
      </c>
      <c r="Y424" t="s">
        <v>2834</v>
      </c>
      <c r="Z424">
        <v>3</v>
      </c>
      <c r="AA424" t="s">
        <v>2789</v>
      </c>
      <c r="AB424">
        <v>0.15</v>
      </c>
      <c r="AC424" t="s">
        <v>2794</v>
      </c>
      <c r="AD424">
        <v>4098.6574999999993</v>
      </c>
      <c r="AE424">
        <v>1420.5974999999994</v>
      </c>
      <c r="AF424">
        <v>0.34660068571233377</v>
      </c>
      <c r="AG424" t="s">
        <v>2828</v>
      </c>
      <c r="AH424">
        <v>2025</v>
      </c>
      <c r="AI424" t="s">
        <v>2835</v>
      </c>
    </row>
    <row r="425" spans="1:35">
      <c r="A425" t="s">
        <v>1371</v>
      </c>
      <c r="B425">
        <v>45342</v>
      </c>
      <c r="C425">
        <v>45349</v>
      </c>
      <c r="D425" t="s">
        <v>1372</v>
      </c>
      <c r="E425" t="s">
        <v>162</v>
      </c>
      <c r="F425" t="s">
        <v>24</v>
      </c>
      <c r="G425" t="s">
        <v>54</v>
      </c>
      <c r="H425" t="s">
        <v>185</v>
      </c>
      <c r="I425" t="s">
        <v>186</v>
      </c>
      <c r="J425" t="s">
        <v>74</v>
      </c>
      <c r="K425" t="s">
        <v>75</v>
      </c>
      <c r="L425" t="s">
        <v>1373</v>
      </c>
      <c r="M425" t="s">
        <v>50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32</v>
      </c>
      <c r="U425" t="s">
        <v>33</v>
      </c>
      <c r="V425" t="s">
        <v>2834</v>
      </c>
      <c r="W425" t="s">
        <v>2834</v>
      </c>
      <c r="X425" t="s">
        <v>2834</v>
      </c>
      <c r="Y425" t="s">
        <v>2834</v>
      </c>
      <c r="Z425">
        <v>7</v>
      </c>
      <c r="AA425" t="s">
        <v>2790</v>
      </c>
      <c r="AB425">
        <v>0.2</v>
      </c>
      <c r="AC425" t="s">
        <v>2794</v>
      </c>
      <c r="AD425">
        <v>27211.032000000003</v>
      </c>
      <c r="AE425">
        <v>9270.6020000000026</v>
      </c>
      <c r="AF425">
        <v>0.34069277490100347</v>
      </c>
      <c r="AG425" t="s">
        <v>2821</v>
      </c>
      <c r="AH425">
        <v>2024</v>
      </c>
      <c r="AI425" t="s">
        <v>2836</v>
      </c>
    </row>
    <row r="426" spans="1:35">
      <c r="A426" t="s">
        <v>1374</v>
      </c>
      <c r="B426">
        <v>45469</v>
      </c>
      <c r="C426">
        <v>45472</v>
      </c>
      <c r="D426" t="s">
        <v>1375</v>
      </c>
      <c r="E426" t="s">
        <v>79</v>
      </c>
      <c r="F426" t="s">
        <v>90</v>
      </c>
      <c r="G426" t="s">
        <v>25</v>
      </c>
      <c r="H426" t="s">
        <v>122</v>
      </c>
      <c r="I426" t="s">
        <v>123</v>
      </c>
      <c r="J426" t="s">
        <v>74</v>
      </c>
      <c r="K426" t="s">
        <v>171</v>
      </c>
      <c r="L426" t="s">
        <v>1376</v>
      </c>
      <c r="M426" t="s">
        <v>59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32</v>
      </c>
      <c r="U426" t="s">
        <v>33</v>
      </c>
      <c r="V426" t="s">
        <v>2834</v>
      </c>
      <c r="W426" t="s">
        <v>2834</v>
      </c>
      <c r="X426" t="s">
        <v>2834</v>
      </c>
      <c r="Y426" t="s">
        <v>2834</v>
      </c>
      <c r="Z426">
        <v>3</v>
      </c>
      <c r="AA426" t="s">
        <v>2789</v>
      </c>
      <c r="AB426">
        <v>0</v>
      </c>
      <c r="AC426" t="s">
        <v>2794</v>
      </c>
      <c r="AD426">
        <v>6436.16</v>
      </c>
      <c r="AE426">
        <v>2172.33</v>
      </c>
      <c r="AF426">
        <v>0.33751957689056827</v>
      </c>
      <c r="AG426" t="s">
        <v>2825</v>
      </c>
      <c r="AH426">
        <v>2024</v>
      </c>
      <c r="AI426" t="s">
        <v>2835</v>
      </c>
    </row>
    <row r="427" spans="1:35">
      <c r="A427" t="s">
        <v>1377</v>
      </c>
      <c r="B427">
        <v>45561</v>
      </c>
      <c r="C427">
        <v>45562</v>
      </c>
      <c r="D427" t="s">
        <v>1378</v>
      </c>
      <c r="E427" t="s">
        <v>47</v>
      </c>
      <c r="F427" t="s">
        <v>95</v>
      </c>
      <c r="G427" t="s">
        <v>25</v>
      </c>
      <c r="H427" t="s">
        <v>350</v>
      </c>
      <c r="I427" t="s">
        <v>351</v>
      </c>
      <c r="J427" t="s">
        <v>28</v>
      </c>
      <c r="K427" t="s">
        <v>91</v>
      </c>
      <c r="L427" t="s">
        <v>1379</v>
      </c>
      <c r="M427" t="s">
        <v>50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102</v>
      </c>
      <c r="U427" t="s">
        <v>68</v>
      </c>
      <c r="V427" t="s">
        <v>2834</v>
      </c>
      <c r="W427" t="s">
        <v>2834</v>
      </c>
      <c r="X427" t="s">
        <v>2834</v>
      </c>
      <c r="Y427" t="s">
        <v>2834</v>
      </c>
      <c r="Z427">
        <v>1</v>
      </c>
      <c r="AA427" t="s">
        <v>2789</v>
      </c>
      <c r="AB427">
        <v>0.1</v>
      </c>
      <c r="AC427" t="s">
        <v>2794</v>
      </c>
      <c r="AD427">
        <v>1918.2420000000002</v>
      </c>
      <c r="AE427">
        <v>544.72200000000021</v>
      </c>
      <c r="AF427">
        <v>0.2839693844676533</v>
      </c>
      <c r="AG427" t="s">
        <v>2828</v>
      </c>
      <c r="AH427">
        <v>2024</v>
      </c>
      <c r="AI427" t="s">
        <v>2835</v>
      </c>
    </row>
    <row r="428" spans="1:35">
      <c r="A428" t="s">
        <v>1380</v>
      </c>
      <c r="B428">
        <v>45473</v>
      </c>
      <c r="C428">
        <v>45474</v>
      </c>
      <c r="D428" t="s">
        <v>1381</v>
      </c>
      <c r="E428" t="s">
        <v>89</v>
      </c>
      <c r="F428" t="s">
        <v>24</v>
      </c>
      <c r="G428" t="s">
        <v>25</v>
      </c>
      <c r="H428" t="s">
        <v>236</v>
      </c>
      <c r="I428" t="s">
        <v>237</v>
      </c>
      <c r="J428" t="s">
        <v>74</v>
      </c>
      <c r="K428" t="s">
        <v>80</v>
      </c>
      <c r="L428" t="s">
        <v>1382</v>
      </c>
      <c r="M428" t="s">
        <v>44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32</v>
      </c>
      <c r="U428" t="s">
        <v>33</v>
      </c>
      <c r="V428" t="s">
        <v>2834</v>
      </c>
      <c r="W428" t="s">
        <v>2834</v>
      </c>
      <c r="X428" t="s">
        <v>2834</v>
      </c>
      <c r="Y428" t="s">
        <v>2834</v>
      </c>
      <c r="Z428">
        <v>1</v>
      </c>
      <c r="AA428" t="s">
        <v>2789</v>
      </c>
      <c r="AB428">
        <v>0.1</v>
      </c>
      <c r="AC428" t="s">
        <v>2794</v>
      </c>
      <c r="AD428">
        <v>27047.952000000001</v>
      </c>
      <c r="AE428">
        <v>8616.6219999999994</v>
      </c>
      <c r="AF428">
        <v>0.31856837072174626</v>
      </c>
      <c r="AG428" t="s">
        <v>2825</v>
      </c>
      <c r="AH428">
        <v>2024</v>
      </c>
      <c r="AI428" t="s">
        <v>2835</v>
      </c>
    </row>
    <row r="429" spans="1:35">
      <c r="A429" t="s">
        <v>1383</v>
      </c>
      <c r="B429">
        <v>45769</v>
      </c>
      <c r="C429">
        <v>45771</v>
      </c>
      <c r="D429" t="s">
        <v>1384</v>
      </c>
      <c r="E429" t="s">
        <v>47</v>
      </c>
      <c r="F429" t="s">
        <v>90</v>
      </c>
      <c r="G429" t="s">
        <v>2791</v>
      </c>
      <c r="H429" t="s">
        <v>228</v>
      </c>
      <c r="I429" t="s">
        <v>229</v>
      </c>
      <c r="J429" t="s">
        <v>74</v>
      </c>
      <c r="K429" t="s">
        <v>75</v>
      </c>
      <c r="L429" t="s">
        <v>1385</v>
      </c>
      <c r="M429" t="s">
        <v>59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32</v>
      </c>
      <c r="U429" t="s">
        <v>33</v>
      </c>
      <c r="V429" t="s">
        <v>2834</v>
      </c>
      <c r="W429" t="s">
        <v>2834</v>
      </c>
      <c r="X429" t="s">
        <v>2834</v>
      </c>
      <c r="Y429" t="s">
        <v>2834</v>
      </c>
      <c r="Z429">
        <v>2</v>
      </c>
      <c r="AA429" t="s">
        <v>2789</v>
      </c>
      <c r="AB429">
        <v>0</v>
      </c>
      <c r="AC429" t="s">
        <v>2794</v>
      </c>
      <c r="AD429">
        <v>26454.959999999999</v>
      </c>
      <c r="AE429">
        <v>8824.7099999999991</v>
      </c>
      <c r="AF429">
        <v>0.33357487594008833</v>
      </c>
      <c r="AG429" t="s">
        <v>2823</v>
      </c>
      <c r="AH429">
        <v>2025</v>
      </c>
      <c r="AI429" t="s">
        <v>2838</v>
      </c>
    </row>
    <row r="430" spans="1:35">
      <c r="A430" t="s">
        <v>1386</v>
      </c>
      <c r="B430">
        <v>45731</v>
      </c>
      <c r="C430">
        <v>45738</v>
      </c>
      <c r="D430" t="s">
        <v>1387</v>
      </c>
      <c r="E430" t="s">
        <v>23</v>
      </c>
      <c r="F430" t="s">
        <v>37</v>
      </c>
      <c r="G430" t="s">
        <v>38</v>
      </c>
      <c r="H430" t="s">
        <v>99</v>
      </c>
      <c r="I430" t="s">
        <v>100</v>
      </c>
      <c r="J430" t="s">
        <v>74</v>
      </c>
      <c r="K430" t="s">
        <v>171</v>
      </c>
      <c r="L430" t="s">
        <v>1388</v>
      </c>
      <c r="M430" t="s">
        <v>44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111</v>
      </c>
      <c r="U430" t="s">
        <v>68</v>
      </c>
      <c r="V430" t="s">
        <v>2834</v>
      </c>
      <c r="W430" t="s">
        <v>2834</v>
      </c>
      <c r="X430" t="s">
        <v>2834</v>
      </c>
      <c r="Y430" t="s">
        <v>2834</v>
      </c>
      <c r="Z430">
        <v>7</v>
      </c>
      <c r="AA430" t="s">
        <v>2789</v>
      </c>
      <c r="AB430">
        <v>0.25</v>
      </c>
      <c r="AC430" t="s">
        <v>2794</v>
      </c>
      <c r="AD430">
        <v>1853.895</v>
      </c>
      <c r="AE430">
        <v>752.66499999999996</v>
      </c>
      <c r="AF430">
        <v>0.40599116994220275</v>
      </c>
      <c r="AG430" t="s">
        <v>2822</v>
      </c>
      <c r="AH430">
        <v>2025</v>
      </c>
      <c r="AI430" t="s">
        <v>2835</v>
      </c>
    </row>
    <row r="431" spans="1:35">
      <c r="A431" t="s">
        <v>1389</v>
      </c>
      <c r="B431">
        <v>45717</v>
      </c>
      <c r="C431">
        <v>45724</v>
      </c>
      <c r="D431" t="s">
        <v>1390</v>
      </c>
      <c r="E431" t="s">
        <v>79</v>
      </c>
      <c r="F431" t="s">
        <v>95</v>
      </c>
      <c r="G431" t="s">
        <v>25</v>
      </c>
      <c r="H431" t="s">
        <v>26</v>
      </c>
      <c r="I431" t="s">
        <v>27</v>
      </c>
      <c r="J431" t="s">
        <v>74</v>
      </c>
      <c r="K431" t="s">
        <v>80</v>
      </c>
      <c r="L431" t="s">
        <v>1391</v>
      </c>
      <c r="M431" t="s">
        <v>44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32</v>
      </c>
      <c r="U431" t="s">
        <v>33</v>
      </c>
      <c r="V431" t="s">
        <v>2834</v>
      </c>
      <c r="W431" t="s">
        <v>2834</v>
      </c>
      <c r="X431" t="s">
        <v>2834</v>
      </c>
      <c r="Y431" t="s">
        <v>2834</v>
      </c>
      <c r="Z431">
        <v>7</v>
      </c>
      <c r="AA431" t="s">
        <v>2789</v>
      </c>
      <c r="AB431">
        <v>0.25</v>
      </c>
      <c r="AC431" t="s">
        <v>2794</v>
      </c>
      <c r="AD431">
        <v>17658.599999999999</v>
      </c>
      <c r="AE431">
        <v>3816.119999999999</v>
      </c>
      <c r="AF431">
        <v>0.2161054670245659</v>
      </c>
      <c r="AG431" t="s">
        <v>2822</v>
      </c>
      <c r="AH431">
        <v>2025</v>
      </c>
      <c r="AI431" t="s">
        <v>2835</v>
      </c>
    </row>
    <row r="432" spans="1:35">
      <c r="A432" t="s">
        <v>1392</v>
      </c>
      <c r="B432">
        <v>45534</v>
      </c>
      <c r="C432">
        <v>45537</v>
      </c>
      <c r="D432" t="s">
        <v>1393</v>
      </c>
      <c r="E432" t="s">
        <v>79</v>
      </c>
      <c r="F432" t="s">
        <v>37</v>
      </c>
      <c r="G432" t="s">
        <v>25</v>
      </c>
      <c r="H432" t="s">
        <v>236</v>
      </c>
      <c r="I432" t="s">
        <v>237</v>
      </c>
      <c r="J432" t="s">
        <v>28</v>
      </c>
      <c r="K432" t="s">
        <v>29</v>
      </c>
      <c r="L432" t="s">
        <v>1394</v>
      </c>
      <c r="M432" t="s">
        <v>31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32</v>
      </c>
      <c r="U432" t="s">
        <v>33</v>
      </c>
      <c r="V432" t="s">
        <v>2834</v>
      </c>
      <c r="W432" t="s">
        <v>2834</v>
      </c>
      <c r="X432" t="s">
        <v>2834</v>
      </c>
      <c r="Y432" t="s">
        <v>2834</v>
      </c>
      <c r="Z432">
        <v>3</v>
      </c>
      <c r="AA432" t="s">
        <v>2789</v>
      </c>
      <c r="AB432">
        <v>0.15</v>
      </c>
      <c r="AC432" t="s">
        <v>2794</v>
      </c>
      <c r="AD432">
        <v>3672.7139999999999</v>
      </c>
      <c r="AE432">
        <v>958.48399999999992</v>
      </c>
      <c r="AF432">
        <v>0.26097430946161337</v>
      </c>
      <c r="AG432" t="s">
        <v>2827</v>
      </c>
      <c r="AH432">
        <v>2024</v>
      </c>
      <c r="AI432" t="s">
        <v>2835</v>
      </c>
    </row>
    <row r="433" spans="1:35">
      <c r="A433" t="s">
        <v>1395</v>
      </c>
      <c r="B433">
        <v>45332</v>
      </c>
      <c r="C433">
        <v>45335</v>
      </c>
      <c r="D433" t="s">
        <v>1396</v>
      </c>
      <c r="E433" t="s">
        <v>23</v>
      </c>
      <c r="F433" t="s">
        <v>95</v>
      </c>
      <c r="G433" t="s">
        <v>63</v>
      </c>
      <c r="H433" t="s">
        <v>190</v>
      </c>
      <c r="I433" t="s">
        <v>191</v>
      </c>
      <c r="J433" t="s">
        <v>74</v>
      </c>
      <c r="K433" t="s">
        <v>274</v>
      </c>
      <c r="L433" t="s">
        <v>1397</v>
      </c>
      <c r="M433" t="s">
        <v>44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32</v>
      </c>
      <c r="U433" t="s">
        <v>33</v>
      </c>
      <c r="V433" t="s">
        <v>2834</v>
      </c>
      <c r="W433" t="s">
        <v>2834</v>
      </c>
      <c r="X433" t="s">
        <v>2834</v>
      </c>
      <c r="Y433" t="s">
        <v>2834</v>
      </c>
      <c r="Z433">
        <v>3</v>
      </c>
      <c r="AA433" t="s">
        <v>2789</v>
      </c>
      <c r="AB433">
        <v>0.25</v>
      </c>
      <c r="AC433" t="s">
        <v>2794</v>
      </c>
      <c r="AD433">
        <v>6177.6749999999993</v>
      </c>
      <c r="AE433">
        <v>1656.9249999999993</v>
      </c>
      <c r="AF433">
        <v>0.26821174632851347</v>
      </c>
      <c r="AG433" t="s">
        <v>2821</v>
      </c>
      <c r="AH433">
        <v>2024</v>
      </c>
      <c r="AI433" t="s">
        <v>2835</v>
      </c>
    </row>
    <row r="434" spans="1:35">
      <c r="A434" t="s">
        <v>1398</v>
      </c>
      <c r="B434">
        <v>45533</v>
      </c>
      <c r="C434">
        <v>45537</v>
      </c>
      <c r="D434" t="s">
        <v>1399</v>
      </c>
      <c r="E434" t="s">
        <v>114</v>
      </c>
      <c r="F434" t="s">
        <v>37</v>
      </c>
      <c r="G434" t="s">
        <v>63</v>
      </c>
      <c r="H434" t="s">
        <v>64</v>
      </c>
      <c r="I434" t="s">
        <v>65</v>
      </c>
      <c r="J434" t="s">
        <v>41</v>
      </c>
      <c r="K434" t="s">
        <v>158</v>
      </c>
      <c r="L434" t="s">
        <v>1400</v>
      </c>
      <c r="M434" t="s">
        <v>59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32</v>
      </c>
      <c r="U434" t="s">
        <v>33</v>
      </c>
      <c r="V434" t="s">
        <v>2834</v>
      </c>
      <c r="W434" t="s">
        <v>2834</v>
      </c>
      <c r="X434" t="s">
        <v>2834</v>
      </c>
      <c r="Y434" t="s">
        <v>2834</v>
      </c>
      <c r="Z434">
        <v>4</v>
      </c>
      <c r="AA434" t="s">
        <v>2789</v>
      </c>
      <c r="AB434">
        <v>0.05</v>
      </c>
      <c r="AC434" t="s">
        <v>2794</v>
      </c>
      <c r="AD434">
        <v>985.07400000000007</v>
      </c>
      <c r="AE434">
        <v>140.59400000000005</v>
      </c>
      <c r="AF434">
        <v>0.14272430294576857</v>
      </c>
      <c r="AG434" t="s">
        <v>2827</v>
      </c>
      <c r="AH434">
        <v>2024</v>
      </c>
      <c r="AI434" t="s">
        <v>2835</v>
      </c>
    </row>
    <row r="435" spans="1:35">
      <c r="A435" t="s">
        <v>1401</v>
      </c>
      <c r="B435">
        <v>45401</v>
      </c>
      <c r="C435">
        <v>45402</v>
      </c>
      <c r="D435" t="s">
        <v>1402</v>
      </c>
      <c r="E435" t="s">
        <v>114</v>
      </c>
      <c r="F435" t="s">
        <v>90</v>
      </c>
      <c r="G435" t="s">
        <v>54</v>
      </c>
      <c r="H435" t="s">
        <v>185</v>
      </c>
      <c r="I435" t="s">
        <v>186</v>
      </c>
      <c r="J435" t="s">
        <v>28</v>
      </c>
      <c r="K435" t="s">
        <v>48</v>
      </c>
      <c r="L435" t="s">
        <v>1403</v>
      </c>
      <c r="M435" t="s">
        <v>31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102</v>
      </c>
      <c r="U435" t="s">
        <v>103</v>
      </c>
      <c r="V435" t="s">
        <v>2834</v>
      </c>
      <c r="W435" t="s">
        <v>2834</v>
      </c>
      <c r="X435" t="s">
        <v>2834</v>
      </c>
      <c r="Y435" t="s">
        <v>2834</v>
      </c>
      <c r="Z435">
        <v>1</v>
      </c>
      <c r="AA435" t="s">
        <v>2789</v>
      </c>
      <c r="AB435">
        <v>0</v>
      </c>
      <c r="AC435" t="s">
        <v>2794</v>
      </c>
      <c r="AD435">
        <v>6160.88</v>
      </c>
      <c r="AE435">
        <v>1222.1800000000003</v>
      </c>
      <c r="AF435">
        <v>0.19837750451234243</v>
      </c>
      <c r="AG435" t="s">
        <v>2823</v>
      </c>
      <c r="AH435">
        <v>2024</v>
      </c>
      <c r="AI435" t="s">
        <v>2835</v>
      </c>
    </row>
    <row r="436" spans="1:35">
      <c r="A436" t="s">
        <v>1404</v>
      </c>
      <c r="B436">
        <v>45758</v>
      </c>
      <c r="C436">
        <v>45762</v>
      </c>
      <c r="D436" t="s">
        <v>1405</v>
      </c>
      <c r="E436" t="s">
        <v>36</v>
      </c>
      <c r="F436" t="s">
        <v>95</v>
      </c>
      <c r="G436" t="s">
        <v>25</v>
      </c>
      <c r="H436" t="s">
        <v>136</v>
      </c>
      <c r="I436" t="s">
        <v>137</v>
      </c>
      <c r="J436" t="s">
        <v>74</v>
      </c>
      <c r="K436" t="s">
        <v>75</v>
      </c>
      <c r="L436" t="s">
        <v>1406</v>
      </c>
      <c r="M436" t="s">
        <v>31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32</v>
      </c>
      <c r="U436" t="s">
        <v>33</v>
      </c>
      <c r="V436" t="s">
        <v>2834</v>
      </c>
      <c r="W436" t="s">
        <v>2834</v>
      </c>
      <c r="X436" t="s">
        <v>2834</v>
      </c>
      <c r="Y436" t="s">
        <v>2834</v>
      </c>
      <c r="Z436">
        <v>4</v>
      </c>
      <c r="AA436" t="s">
        <v>2789</v>
      </c>
      <c r="AB436">
        <v>0</v>
      </c>
      <c r="AC436" t="s">
        <v>2794</v>
      </c>
      <c r="AD436">
        <v>3263.8999999999996</v>
      </c>
      <c r="AE436">
        <v>1195.4599999999996</v>
      </c>
      <c r="AF436">
        <v>0.3662673488771101</v>
      </c>
      <c r="AG436" t="s">
        <v>2823</v>
      </c>
      <c r="AH436">
        <v>2025</v>
      </c>
      <c r="AI436" t="s">
        <v>2835</v>
      </c>
    </row>
    <row r="437" spans="1:35">
      <c r="A437" t="s">
        <v>1407</v>
      </c>
      <c r="B437">
        <v>45759</v>
      </c>
      <c r="C437">
        <v>45767</v>
      </c>
      <c r="D437" t="s">
        <v>1408</v>
      </c>
      <c r="E437" t="s">
        <v>264</v>
      </c>
      <c r="F437" t="s">
        <v>95</v>
      </c>
      <c r="G437" t="s">
        <v>25</v>
      </c>
      <c r="H437" t="s">
        <v>350</v>
      </c>
      <c r="I437" t="s">
        <v>351</v>
      </c>
      <c r="J437" t="s">
        <v>74</v>
      </c>
      <c r="K437" t="s">
        <v>274</v>
      </c>
      <c r="L437" t="s">
        <v>1409</v>
      </c>
      <c r="M437" t="s">
        <v>59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32</v>
      </c>
      <c r="U437" t="s">
        <v>68</v>
      </c>
      <c r="V437" t="s">
        <v>2834</v>
      </c>
      <c r="W437" t="s">
        <v>2834</v>
      </c>
      <c r="X437" t="s">
        <v>2834</v>
      </c>
      <c r="Y437" t="s">
        <v>2834</v>
      </c>
      <c r="Z437">
        <v>8</v>
      </c>
      <c r="AA437" t="s">
        <v>2789</v>
      </c>
      <c r="AB437">
        <v>0.15</v>
      </c>
      <c r="AC437" t="s">
        <v>2794</v>
      </c>
      <c r="AD437">
        <v>2327.0535</v>
      </c>
      <c r="AE437">
        <v>407.63349999999991</v>
      </c>
      <c r="AF437">
        <v>0.17517152055163318</v>
      </c>
      <c r="AG437" t="s">
        <v>2823</v>
      </c>
      <c r="AH437">
        <v>2025</v>
      </c>
      <c r="AI437" t="s">
        <v>2835</v>
      </c>
    </row>
    <row r="438" spans="1:35">
      <c r="A438" t="s">
        <v>1410</v>
      </c>
      <c r="B438">
        <v>45459</v>
      </c>
      <c r="C438">
        <v>45464</v>
      </c>
      <c r="D438" t="s">
        <v>1411</v>
      </c>
      <c r="E438" t="s">
        <v>79</v>
      </c>
      <c r="F438" t="s">
        <v>24</v>
      </c>
      <c r="G438" t="s">
        <v>54</v>
      </c>
      <c r="H438" t="s">
        <v>185</v>
      </c>
      <c r="I438" t="s">
        <v>186</v>
      </c>
      <c r="J438" t="s">
        <v>41</v>
      </c>
      <c r="K438" t="s">
        <v>57</v>
      </c>
      <c r="L438" t="s">
        <v>1412</v>
      </c>
      <c r="M438" t="s">
        <v>44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32</v>
      </c>
      <c r="U438" t="s">
        <v>103</v>
      </c>
      <c r="V438" t="s">
        <v>2834</v>
      </c>
      <c r="W438" t="s">
        <v>2834</v>
      </c>
      <c r="X438" t="s">
        <v>2834</v>
      </c>
      <c r="Y438" t="s">
        <v>2834</v>
      </c>
      <c r="Z438">
        <v>5</v>
      </c>
      <c r="AA438" t="s">
        <v>2789</v>
      </c>
      <c r="AB438">
        <v>0.05</v>
      </c>
      <c r="AC438" t="s">
        <v>2794</v>
      </c>
      <c r="AD438">
        <v>6593.6459999999997</v>
      </c>
      <c r="AE438">
        <v>2234.2559999999994</v>
      </c>
      <c r="AF438">
        <v>0.33884985636171544</v>
      </c>
      <c r="AG438" t="s">
        <v>2825</v>
      </c>
      <c r="AH438">
        <v>2024</v>
      </c>
      <c r="AI438" t="s">
        <v>2835</v>
      </c>
    </row>
    <row r="439" spans="1:35">
      <c r="A439" t="s">
        <v>1413</v>
      </c>
      <c r="B439">
        <v>45337</v>
      </c>
      <c r="C439">
        <v>45340</v>
      </c>
      <c r="D439" t="s">
        <v>1414</v>
      </c>
      <c r="E439" t="s">
        <v>89</v>
      </c>
      <c r="F439" t="s">
        <v>37</v>
      </c>
      <c r="G439" t="s">
        <v>54</v>
      </c>
      <c r="H439" t="s">
        <v>185</v>
      </c>
      <c r="I439" t="s">
        <v>186</v>
      </c>
      <c r="J439" t="s">
        <v>74</v>
      </c>
      <c r="K439" t="s">
        <v>75</v>
      </c>
      <c r="L439" t="s">
        <v>1415</v>
      </c>
      <c r="M439" t="s">
        <v>44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155</v>
      </c>
      <c r="U439" t="s">
        <v>103</v>
      </c>
      <c r="V439" t="s">
        <v>2834</v>
      </c>
      <c r="W439" t="s">
        <v>2834</v>
      </c>
      <c r="X439" t="s">
        <v>2834</v>
      </c>
      <c r="Y439" t="s">
        <v>2834</v>
      </c>
      <c r="Z439">
        <v>3</v>
      </c>
      <c r="AA439" t="s">
        <v>2789</v>
      </c>
      <c r="AB439">
        <v>0.05</v>
      </c>
      <c r="AC439" t="s">
        <v>2794</v>
      </c>
      <c r="AD439">
        <v>2886.6319999999996</v>
      </c>
      <c r="AE439">
        <v>1298.4019999999996</v>
      </c>
      <c r="AF439">
        <v>0.44979824238073984</v>
      </c>
      <c r="AG439" t="s">
        <v>2821</v>
      </c>
      <c r="AH439">
        <v>2024</v>
      </c>
      <c r="AI439" t="s">
        <v>2835</v>
      </c>
    </row>
    <row r="440" spans="1:35">
      <c r="A440" t="s">
        <v>1416</v>
      </c>
      <c r="B440">
        <v>45784</v>
      </c>
      <c r="C440">
        <v>45782</v>
      </c>
      <c r="D440" t="s">
        <v>1417</v>
      </c>
      <c r="E440" t="s">
        <v>79</v>
      </c>
      <c r="F440" t="s">
        <v>90</v>
      </c>
      <c r="G440" t="s">
        <v>38</v>
      </c>
      <c r="H440" t="s">
        <v>228</v>
      </c>
      <c r="I440" t="s">
        <v>229</v>
      </c>
      <c r="J440" t="s">
        <v>74</v>
      </c>
      <c r="K440" t="s">
        <v>171</v>
      </c>
      <c r="L440" t="s">
        <v>1418</v>
      </c>
      <c r="M440" t="s">
        <v>59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32</v>
      </c>
      <c r="U440" t="s">
        <v>33</v>
      </c>
      <c r="V440" t="s">
        <v>2834</v>
      </c>
      <c r="W440" t="s">
        <v>2834</v>
      </c>
      <c r="X440" t="s">
        <v>2834</v>
      </c>
      <c r="Y440" t="s">
        <v>2837</v>
      </c>
      <c r="Z440">
        <v>-2</v>
      </c>
      <c r="AA440" t="s">
        <v>2789</v>
      </c>
      <c r="AB440">
        <v>0.2</v>
      </c>
      <c r="AC440" t="s">
        <v>2794</v>
      </c>
      <c r="AD440">
        <v>1813.1759999999999</v>
      </c>
      <c r="AE440">
        <v>449.53599999999983</v>
      </c>
      <c r="AF440">
        <v>0.24792739370033567</v>
      </c>
      <c r="AG440" t="s">
        <v>2824</v>
      </c>
      <c r="AH440">
        <v>2025</v>
      </c>
      <c r="AI440" t="s">
        <v>2836</v>
      </c>
    </row>
    <row r="441" spans="1:35">
      <c r="A441" t="s">
        <v>1419</v>
      </c>
      <c r="B441">
        <v>45838</v>
      </c>
      <c r="C441">
        <v>45841</v>
      </c>
      <c r="D441" t="s">
        <v>1420</v>
      </c>
      <c r="E441" t="s">
        <v>128</v>
      </c>
      <c r="F441" t="s">
        <v>95</v>
      </c>
      <c r="G441" t="s">
        <v>63</v>
      </c>
      <c r="H441" t="s">
        <v>190</v>
      </c>
      <c r="I441" t="s">
        <v>191</v>
      </c>
      <c r="J441" t="s">
        <v>28</v>
      </c>
      <c r="K441" t="s">
        <v>124</v>
      </c>
      <c r="L441" t="s">
        <v>1421</v>
      </c>
      <c r="M441" t="s">
        <v>44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102</v>
      </c>
      <c r="U441" t="s">
        <v>103</v>
      </c>
      <c r="V441" t="s">
        <v>2834</v>
      </c>
      <c r="W441" t="s">
        <v>2834</v>
      </c>
      <c r="X441" t="s">
        <v>2834</v>
      </c>
      <c r="Y441" t="s">
        <v>2834</v>
      </c>
      <c r="Z441">
        <v>3</v>
      </c>
      <c r="AA441" t="s">
        <v>2789</v>
      </c>
      <c r="AB441">
        <v>0</v>
      </c>
      <c r="AC441" t="s">
        <v>2794</v>
      </c>
      <c r="AD441">
        <v>3326.25</v>
      </c>
      <c r="AE441">
        <v>636.88999999999987</v>
      </c>
      <c r="AF441">
        <v>0.19147388199924836</v>
      </c>
      <c r="AG441" t="s">
        <v>2825</v>
      </c>
      <c r="AH441">
        <v>2025</v>
      </c>
      <c r="AI441" t="s">
        <v>2835</v>
      </c>
    </row>
    <row r="442" spans="1:35">
      <c r="A442" t="s">
        <v>1422</v>
      </c>
      <c r="B442">
        <v>45384</v>
      </c>
      <c r="C442">
        <v>45390</v>
      </c>
      <c r="D442" t="s">
        <v>270</v>
      </c>
      <c r="E442" t="s">
        <v>71</v>
      </c>
      <c r="F442" t="s">
        <v>90</v>
      </c>
      <c r="G442" t="s">
        <v>38</v>
      </c>
      <c r="H442" t="s">
        <v>39</v>
      </c>
      <c r="I442" t="s">
        <v>40</v>
      </c>
      <c r="J442" t="s">
        <v>74</v>
      </c>
      <c r="K442" t="s">
        <v>274</v>
      </c>
      <c r="L442" t="s">
        <v>1423</v>
      </c>
      <c r="M442" t="s">
        <v>31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32</v>
      </c>
      <c r="U442" t="s">
        <v>33</v>
      </c>
      <c r="V442" t="s">
        <v>2834</v>
      </c>
      <c r="W442" t="s">
        <v>2834</v>
      </c>
      <c r="X442" t="s">
        <v>2834</v>
      </c>
      <c r="Y442" t="s">
        <v>2834</v>
      </c>
      <c r="Z442">
        <v>6</v>
      </c>
      <c r="AA442" t="s">
        <v>2789</v>
      </c>
      <c r="AB442">
        <v>0.2</v>
      </c>
      <c r="AC442" t="s">
        <v>2794</v>
      </c>
      <c r="AD442">
        <v>17869.632000000001</v>
      </c>
      <c r="AE442">
        <v>5705.8320000000022</v>
      </c>
      <c r="AF442">
        <v>0.31930327384469931</v>
      </c>
      <c r="AG442" t="s">
        <v>2823</v>
      </c>
      <c r="AH442">
        <v>2024</v>
      </c>
      <c r="AI442" t="s">
        <v>2835</v>
      </c>
    </row>
    <row r="443" spans="1:35">
      <c r="A443" t="s">
        <v>1424</v>
      </c>
      <c r="B443">
        <v>45568</v>
      </c>
      <c r="C443">
        <v>45568</v>
      </c>
      <c r="D443" t="s">
        <v>1425</v>
      </c>
      <c r="E443" t="s">
        <v>23</v>
      </c>
      <c r="F443" t="s">
        <v>24</v>
      </c>
      <c r="G443" t="s">
        <v>38</v>
      </c>
      <c r="H443" t="s">
        <v>145</v>
      </c>
      <c r="I443" t="s">
        <v>146</v>
      </c>
      <c r="J443" t="s">
        <v>41</v>
      </c>
      <c r="K443" t="s">
        <v>158</v>
      </c>
      <c r="L443" t="s">
        <v>1426</v>
      </c>
      <c r="M443" t="s">
        <v>59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32</v>
      </c>
      <c r="U443" t="s">
        <v>68</v>
      </c>
      <c r="V443" t="s">
        <v>2834</v>
      </c>
      <c r="W443" t="s">
        <v>2834</v>
      </c>
      <c r="X443" t="s">
        <v>2834</v>
      </c>
      <c r="Y443" t="s">
        <v>2834</v>
      </c>
      <c r="Z443">
        <v>0</v>
      </c>
      <c r="AA443" t="s">
        <v>2789</v>
      </c>
      <c r="AB443">
        <v>0</v>
      </c>
      <c r="AC443" t="s">
        <v>2794</v>
      </c>
      <c r="AD443">
        <v>25304.94</v>
      </c>
      <c r="AE443">
        <v>4532.989999999998</v>
      </c>
      <c r="AF443">
        <v>0.17913458795002077</v>
      </c>
      <c r="AG443" t="s">
        <v>2829</v>
      </c>
      <c r="AH443">
        <v>2024</v>
      </c>
      <c r="AI443" t="s">
        <v>2835</v>
      </c>
    </row>
    <row r="444" spans="1:35">
      <c r="A444" t="s">
        <v>1427</v>
      </c>
      <c r="B444">
        <v>45669</v>
      </c>
      <c r="C444">
        <v>45676</v>
      </c>
      <c r="D444" t="s">
        <v>1428</v>
      </c>
      <c r="E444" t="s">
        <v>128</v>
      </c>
      <c r="F444" t="s">
        <v>24</v>
      </c>
      <c r="G444" t="s">
        <v>38</v>
      </c>
      <c r="H444" t="s">
        <v>228</v>
      </c>
      <c r="I444" t="s">
        <v>229</v>
      </c>
      <c r="J444" t="s">
        <v>41</v>
      </c>
      <c r="K444" t="s">
        <v>42</v>
      </c>
      <c r="L444" t="s">
        <v>1429</v>
      </c>
      <c r="M444" t="s">
        <v>50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32</v>
      </c>
      <c r="U444" t="s">
        <v>33</v>
      </c>
      <c r="V444" t="s">
        <v>2834</v>
      </c>
      <c r="W444" t="s">
        <v>2834</v>
      </c>
      <c r="X444" t="s">
        <v>2834</v>
      </c>
      <c r="Y444" t="s">
        <v>2834</v>
      </c>
      <c r="Z444">
        <v>7</v>
      </c>
      <c r="AA444" t="s">
        <v>2789</v>
      </c>
      <c r="AB444">
        <v>0</v>
      </c>
      <c r="AC444" t="s">
        <v>2794</v>
      </c>
      <c r="AD444">
        <v>1842.31</v>
      </c>
      <c r="AE444">
        <v>823.14</v>
      </c>
      <c r="AF444">
        <v>0.44679777019068451</v>
      </c>
      <c r="AG444" t="s">
        <v>2820</v>
      </c>
      <c r="AH444">
        <v>2025</v>
      </c>
      <c r="AI444" t="s">
        <v>2835</v>
      </c>
    </row>
    <row r="445" spans="1:35">
      <c r="A445" t="s">
        <v>1430</v>
      </c>
      <c r="B445">
        <v>45386</v>
      </c>
      <c r="C445">
        <v>45389</v>
      </c>
      <c r="D445" t="s">
        <v>1431</v>
      </c>
      <c r="E445" t="s">
        <v>141</v>
      </c>
      <c r="F445" t="s">
        <v>95</v>
      </c>
      <c r="G445" t="s">
        <v>38</v>
      </c>
      <c r="H445" t="s">
        <v>39</v>
      </c>
      <c r="I445" t="s">
        <v>40</v>
      </c>
      <c r="J445" t="s">
        <v>41</v>
      </c>
      <c r="K445" t="s">
        <v>57</v>
      </c>
      <c r="L445" t="s">
        <v>1432</v>
      </c>
      <c r="M445" t="s">
        <v>50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32</v>
      </c>
      <c r="U445" t="s">
        <v>33</v>
      </c>
      <c r="V445" t="s">
        <v>2834</v>
      </c>
      <c r="W445" t="s">
        <v>2834</v>
      </c>
      <c r="X445" t="s">
        <v>2834</v>
      </c>
      <c r="Y445" t="s">
        <v>2834</v>
      </c>
      <c r="Z445">
        <v>3</v>
      </c>
      <c r="AA445" t="s">
        <v>2789</v>
      </c>
      <c r="AB445">
        <v>0.1</v>
      </c>
      <c r="AC445" t="s">
        <v>2794</v>
      </c>
      <c r="AD445">
        <v>3315.375</v>
      </c>
      <c r="AE445">
        <v>967.69500000000016</v>
      </c>
      <c r="AF445">
        <v>0.29188100893564084</v>
      </c>
      <c r="AG445" t="s">
        <v>2823</v>
      </c>
      <c r="AH445">
        <v>2024</v>
      </c>
      <c r="AI445" t="s">
        <v>2835</v>
      </c>
    </row>
    <row r="446" spans="1:35">
      <c r="A446" t="s">
        <v>1433</v>
      </c>
      <c r="B446">
        <v>45881</v>
      </c>
      <c r="C446">
        <v>45885</v>
      </c>
      <c r="D446" t="s">
        <v>1434</v>
      </c>
      <c r="E446" t="s">
        <v>62</v>
      </c>
      <c r="F446" t="s">
        <v>24</v>
      </c>
      <c r="G446" t="s">
        <v>38</v>
      </c>
      <c r="H446" t="s">
        <v>166</v>
      </c>
      <c r="I446" t="s">
        <v>167</v>
      </c>
      <c r="J446" t="s">
        <v>74</v>
      </c>
      <c r="K446" t="s">
        <v>75</v>
      </c>
      <c r="L446" t="s">
        <v>1435</v>
      </c>
      <c r="M446" t="s">
        <v>44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32</v>
      </c>
      <c r="U446" t="s">
        <v>33</v>
      </c>
      <c r="V446" t="s">
        <v>2834</v>
      </c>
      <c r="W446" t="s">
        <v>2834</v>
      </c>
      <c r="X446" t="s">
        <v>2834</v>
      </c>
      <c r="Y446" t="s">
        <v>2834</v>
      </c>
      <c r="Z446">
        <v>4</v>
      </c>
      <c r="AA446" t="s">
        <v>2789</v>
      </c>
      <c r="AB446">
        <v>0.05</v>
      </c>
      <c r="AC446" t="s">
        <v>2794</v>
      </c>
      <c r="AD446">
        <v>20342.501999999997</v>
      </c>
      <c r="AE446">
        <v>7934.9919999999966</v>
      </c>
      <c r="AF446">
        <v>0.39006961877157481</v>
      </c>
      <c r="AG446" t="s">
        <v>2827</v>
      </c>
      <c r="AH446">
        <v>2025</v>
      </c>
      <c r="AI446" t="s">
        <v>2835</v>
      </c>
    </row>
    <row r="447" spans="1:35">
      <c r="A447" t="s">
        <v>1436</v>
      </c>
      <c r="B447">
        <v>45421</v>
      </c>
      <c r="C447">
        <v>45417</v>
      </c>
      <c r="D447" t="s">
        <v>1437</v>
      </c>
      <c r="E447" t="s">
        <v>53</v>
      </c>
      <c r="F447" t="s">
        <v>24</v>
      </c>
      <c r="G447" t="s">
        <v>38</v>
      </c>
      <c r="H447" t="s">
        <v>166</v>
      </c>
      <c r="I447" t="s">
        <v>167</v>
      </c>
      <c r="J447" t="s">
        <v>41</v>
      </c>
      <c r="K447" t="s">
        <v>158</v>
      </c>
      <c r="L447" t="s">
        <v>1438</v>
      </c>
      <c r="M447" t="s">
        <v>44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32</v>
      </c>
      <c r="U447" t="s">
        <v>33</v>
      </c>
      <c r="V447" t="s">
        <v>2834</v>
      </c>
      <c r="W447" t="s">
        <v>2834</v>
      </c>
      <c r="X447" t="s">
        <v>2834</v>
      </c>
      <c r="Y447" t="s">
        <v>2837</v>
      </c>
      <c r="Z447">
        <v>-4</v>
      </c>
      <c r="AA447" t="s">
        <v>2789</v>
      </c>
      <c r="AB447">
        <v>0.2</v>
      </c>
      <c r="AC447" t="s">
        <v>2794</v>
      </c>
      <c r="AD447">
        <v>3377.9680000000003</v>
      </c>
      <c r="AE447">
        <v>881.67800000000034</v>
      </c>
      <c r="AF447">
        <v>0.26100839321154029</v>
      </c>
      <c r="AG447" t="s">
        <v>2824</v>
      </c>
      <c r="AH447">
        <v>2024</v>
      </c>
      <c r="AI447" t="s">
        <v>2836</v>
      </c>
    </row>
    <row r="448" spans="1:35">
      <c r="A448" t="s">
        <v>1439</v>
      </c>
      <c r="B448">
        <v>45918</v>
      </c>
      <c r="C448">
        <v>45919</v>
      </c>
      <c r="D448" t="s">
        <v>1440</v>
      </c>
      <c r="E448" t="s">
        <v>132</v>
      </c>
      <c r="F448" t="s">
        <v>95</v>
      </c>
      <c r="G448" t="s">
        <v>54</v>
      </c>
      <c r="H448" t="s">
        <v>84</v>
      </c>
      <c r="I448" t="s">
        <v>85</v>
      </c>
      <c r="J448" t="s">
        <v>28</v>
      </c>
      <c r="K448" t="s">
        <v>124</v>
      </c>
      <c r="L448" t="s">
        <v>1441</v>
      </c>
      <c r="M448" t="s">
        <v>44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32</v>
      </c>
      <c r="U448" t="s">
        <v>33</v>
      </c>
      <c r="V448" t="s">
        <v>2834</v>
      </c>
      <c r="W448" t="s">
        <v>2834</v>
      </c>
      <c r="X448" t="s">
        <v>2834</v>
      </c>
      <c r="Y448" t="s">
        <v>2834</v>
      </c>
      <c r="Z448">
        <v>1</v>
      </c>
      <c r="AA448" t="s">
        <v>2789</v>
      </c>
      <c r="AB448">
        <v>0</v>
      </c>
      <c r="AC448" t="s">
        <v>2794</v>
      </c>
      <c r="AD448">
        <v>33940.080000000002</v>
      </c>
      <c r="AE448">
        <v>10185.890000000003</v>
      </c>
      <c r="AF448">
        <v>0.30011390662603044</v>
      </c>
      <c r="AG448" t="s">
        <v>2828</v>
      </c>
      <c r="AH448">
        <v>2025</v>
      </c>
      <c r="AI448" t="s">
        <v>2835</v>
      </c>
    </row>
    <row r="449" spans="1:35">
      <c r="A449" t="s">
        <v>1442</v>
      </c>
      <c r="B449">
        <v>45879</v>
      </c>
      <c r="C449">
        <v>45879</v>
      </c>
      <c r="D449" t="s">
        <v>1443</v>
      </c>
      <c r="E449" t="s">
        <v>141</v>
      </c>
      <c r="F449" t="s">
        <v>95</v>
      </c>
      <c r="G449" t="s">
        <v>54</v>
      </c>
      <c r="H449" t="s">
        <v>55</v>
      </c>
      <c r="I449" t="s">
        <v>56</v>
      </c>
      <c r="J449" t="s">
        <v>41</v>
      </c>
      <c r="K449" t="s">
        <v>158</v>
      </c>
      <c r="L449" t="s">
        <v>1444</v>
      </c>
      <c r="M449" t="s">
        <v>59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111</v>
      </c>
      <c r="U449" t="s">
        <v>103</v>
      </c>
      <c r="V449" t="s">
        <v>2834</v>
      </c>
      <c r="W449" t="s">
        <v>2834</v>
      </c>
      <c r="X449" t="s">
        <v>2834</v>
      </c>
      <c r="Y449" t="s">
        <v>2834</v>
      </c>
      <c r="Z449">
        <v>0</v>
      </c>
      <c r="AA449" t="s">
        <v>2789</v>
      </c>
      <c r="AB449">
        <v>0.15</v>
      </c>
      <c r="AC449" t="s">
        <v>2794</v>
      </c>
      <c r="AD449">
        <v>21872.369999999995</v>
      </c>
      <c r="AE449">
        <v>8042.8699999999953</v>
      </c>
      <c r="AF449">
        <v>0.36771826738483288</v>
      </c>
      <c r="AG449" t="s">
        <v>2827</v>
      </c>
      <c r="AH449">
        <v>2025</v>
      </c>
      <c r="AI449" t="s">
        <v>2835</v>
      </c>
    </row>
    <row r="450" spans="1:35">
      <c r="A450" t="s">
        <v>1445</v>
      </c>
      <c r="B450">
        <v>45306</v>
      </c>
      <c r="C450">
        <v>45309</v>
      </c>
      <c r="D450" t="s">
        <v>1446</v>
      </c>
      <c r="E450" t="s">
        <v>36</v>
      </c>
      <c r="F450" t="s">
        <v>37</v>
      </c>
      <c r="G450" t="s">
        <v>54</v>
      </c>
      <c r="H450" t="s">
        <v>84</v>
      </c>
      <c r="I450" t="s">
        <v>85</v>
      </c>
      <c r="J450" t="s">
        <v>41</v>
      </c>
      <c r="K450" t="s">
        <v>66</v>
      </c>
      <c r="L450" t="s">
        <v>1447</v>
      </c>
      <c r="M450" t="s">
        <v>50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32</v>
      </c>
      <c r="U450" t="s">
        <v>33</v>
      </c>
      <c r="V450" t="s">
        <v>2834</v>
      </c>
      <c r="W450" t="s">
        <v>2834</v>
      </c>
      <c r="X450" t="s">
        <v>2834</v>
      </c>
      <c r="Y450" t="s">
        <v>2834</v>
      </c>
      <c r="Z450">
        <v>3</v>
      </c>
      <c r="AA450" t="s">
        <v>2789</v>
      </c>
      <c r="AB450">
        <v>0.15</v>
      </c>
      <c r="AC450" t="s">
        <v>2794</v>
      </c>
      <c r="AD450">
        <v>342.05700000000002</v>
      </c>
      <c r="AE450">
        <v>97.487000000000023</v>
      </c>
      <c r="AF450">
        <v>0.28500220723446684</v>
      </c>
      <c r="AG450" t="s">
        <v>2820</v>
      </c>
      <c r="AH450">
        <v>2024</v>
      </c>
      <c r="AI450" t="s">
        <v>2835</v>
      </c>
    </row>
    <row r="451" spans="1:35">
      <c r="A451" t="s">
        <v>1448</v>
      </c>
      <c r="B451">
        <v>45449</v>
      </c>
      <c r="C451">
        <v>45456</v>
      </c>
      <c r="D451" t="s">
        <v>1342</v>
      </c>
      <c r="E451" t="s">
        <v>89</v>
      </c>
      <c r="F451" t="s">
        <v>90</v>
      </c>
      <c r="G451" t="s">
        <v>38</v>
      </c>
      <c r="H451" t="s">
        <v>166</v>
      </c>
      <c r="I451" t="s">
        <v>167</v>
      </c>
      <c r="J451" t="s">
        <v>74</v>
      </c>
      <c r="K451" t="s">
        <v>274</v>
      </c>
      <c r="L451" t="s">
        <v>1449</v>
      </c>
      <c r="M451" t="s">
        <v>31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32</v>
      </c>
      <c r="U451" t="s">
        <v>33</v>
      </c>
      <c r="V451" t="s">
        <v>2834</v>
      </c>
      <c r="W451" t="s">
        <v>2834</v>
      </c>
      <c r="X451" t="s">
        <v>2834</v>
      </c>
      <c r="Y451" t="s">
        <v>2834</v>
      </c>
      <c r="Z451">
        <v>7</v>
      </c>
      <c r="AA451" t="s">
        <v>2789</v>
      </c>
      <c r="AB451">
        <v>0</v>
      </c>
      <c r="AC451" t="s">
        <v>2794</v>
      </c>
      <c r="AD451">
        <v>19622.16</v>
      </c>
      <c r="AE451">
        <v>5350.8899999999994</v>
      </c>
      <c r="AF451">
        <v>0.27269627808559299</v>
      </c>
      <c r="AG451" t="s">
        <v>2825</v>
      </c>
      <c r="AH451">
        <v>2024</v>
      </c>
      <c r="AI451" t="s">
        <v>2835</v>
      </c>
    </row>
    <row r="452" spans="1:35">
      <c r="A452" t="s">
        <v>1450</v>
      </c>
      <c r="B452">
        <v>45820</v>
      </c>
      <c r="C452">
        <v>45827</v>
      </c>
      <c r="D452" t="s">
        <v>1451</v>
      </c>
      <c r="E452" t="s">
        <v>62</v>
      </c>
      <c r="F452" t="s">
        <v>90</v>
      </c>
      <c r="G452" t="s">
        <v>25</v>
      </c>
      <c r="H452" t="s">
        <v>350</v>
      </c>
      <c r="I452" t="s">
        <v>351</v>
      </c>
      <c r="J452" t="s">
        <v>41</v>
      </c>
      <c r="K452" t="s">
        <v>66</v>
      </c>
      <c r="L452" t="s">
        <v>1452</v>
      </c>
      <c r="M452" t="s">
        <v>59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32</v>
      </c>
      <c r="U452" t="s">
        <v>33</v>
      </c>
      <c r="V452" t="s">
        <v>2834</v>
      </c>
      <c r="W452" t="s">
        <v>2834</v>
      </c>
      <c r="X452" t="s">
        <v>2834</v>
      </c>
      <c r="Y452" t="s">
        <v>2834</v>
      </c>
      <c r="Z452">
        <v>7</v>
      </c>
      <c r="AA452" t="s">
        <v>2789</v>
      </c>
      <c r="AB452">
        <v>0.25</v>
      </c>
      <c r="AC452" t="s">
        <v>2794</v>
      </c>
      <c r="AD452">
        <v>15380.3475</v>
      </c>
      <c r="AE452">
        <v>5472.9774999999991</v>
      </c>
      <c r="AF452">
        <v>0.35584225258889624</v>
      </c>
      <c r="AG452" t="s">
        <v>2825</v>
      </c>
      <c r="AH452">
        <v>2025</v>
      </c>
      <c r="AI452" t="s">
        <v>2835</v>
      </c>
    </row>
    <row r="453" spans="1:35">
      <c r="A453" t="s">
        <v>1453</v>
      </c>
      <c r="B453">
        <v>45375</v>
      </c>
      <c r="C453">
        <v>45377</v>
      </c>
      <c r="D453" t="s">
        <v>1454</v>
      </c>
      <c r="E453" t="s">
        <v>141</v>
      </c>
      <c r="F453" t="s">
        <v>37</v>
      </c>
      <c r="G453" t="s">
        <v>25</v>
      </c>
      <c r="H453" t="s">
        <v>236</v>
      </c>
      <c r="I453" t="s">
        <v>237</v>
      </c>
      <c r="J453" t="s">
        <v>28</v>
      </c>
      <c r="K453" t="s">
        <v>29</v>
      </c>
      <c r="L453" t="s">
        <v>1455</v>
      </c>
      <c r="M453" t="s">
        <v>31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32</v>
      </c>
      <c r="U453" t="s">
        <v>68</v>
      </c>
      <c r="V453" t="s">
        <v>2834</v>
      </c>
      <c r="W453" t="s">
        <v>2834</v>
      </c>
      <c r="X453" t="s">
        <v>2834</v>
      </c>
      <c r="Y453" t="s">
        <v>2834</v>
      </c>
      <c r="Z453">
        <v>2</v>
      </c>
      <c r="AA453" t="s">
        <v>2789</v>
      </c>
      <c r="AB453">
        <v>0.15</v>
      </c>
      <c r="AC453" t="s">
        <v>2794</v>
      </c>
      <c r="AD453">
        <v>13039.952000000001</v>
      </c>
      <c r="AE453">
        <v>1912.1320000000014</v>
      </c>
      <c r="AF453">
        <v>0.1466364293365498</v>
      </c>
      <c r="AG453" t="s">
        <v>2822</v>
      </c>
      <c r="AH453">
        <v>2024</v>
      </c>
      <c r="AI453" t="s">
        <v>2835</v>
      </c>
    </row>
    <row r="454" spans="1:35">
      <c r="A454" t="s">
        <v>1456</v>
      </c>
      <c r="B454">
        <v>45422</v>
      </c>
      <c r="C454">
        <v>45428</v>
      </c>
      <c r="D454" t="s">
        <v>1457</v>
      </c>
      <c r="E454" t="s">
        <v>162</v>
      </c>
      <c r="F454" t="s">
        <v>95</v>
      </c>
      <c r="G454" t="s">
        <v>38</v>
      </c>
      <c r="H454" t="s">
        <v>228</v>
      </c>
      <c r="I454" t="s">
        <v>229</v>
      </c>
      <c r="J454" t="s">
        <v>74</v>
      </c>
      <c r="K454" t="s">
        <v>75</v>
      </c>
      <c r="L454" t="s">
        <v>1458</v>
      </c>
      <c r="M454" t="s">
        <v>31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32</v>
      </c>
      <c r="U454" t="s">
        <v>33</v>
      </c>
      <c r="V454" t="s">
        <v>2834</v>
      </c>
      <c r="W454" t="s">
        <v>2834</v>
      </c>
      <c r="X454" t="s">
        <v>2834</v>
      </c>
      <c r="Y454" t="s">
        <v>2834</v>
      </c>
      <c r="Z454">
        <v>6</v>
      </c>
      <c r="AA454" t="s">
        <v>2789</v>
      </c>
      <c r="AB454">
        <v>0.2</v>
      </c>
      <c r="AC454" t="s">
        <v>2794</v>
      </c>
      <c r="AD454">
        <v>9663.9840000000004</v>
      </c>
      <c r="AE454">
        <v>4035.0540000000001</v>
      </c>
      <c r="AF454">
        <v>0.41753525254180884</v>
      </c>
      <c r="AG454" t="s">
        <v>2824</v>
      </c>
      <c r="AH454">
        <v>2024</v>
      </c>
      <c r="AI454" t="s">
        <v>2835</v>
      </c>
    </row>
    <row r="455" spans="1:35">
      <c r="A455" t="s">
        <v>1459</v>
      </c>
      <c r="B455">
        <v>45780</v>
      </c>
      <c r="C455">
        <v>45788</v>
      </c>
      <c r="D455" t="s">
        <v>1460</v>
      </c>
      <c r="E455" t="s">
        <v>141</v>
      </c>
      <c r="F455" t="s">
        <v>37</v>
      </c>
      <c r="G455" t="s">
        <v>63</v>
      </c>
      <c r="H455" t="s">
        <v>72</v>
      </c>
      <c r="I455" t="s">
        <v>73</v>
      </c>
      <c r="J455" t="s">
        <v>28</v>
      </c>
      <c r="K455" t="s">
        <v>91</v>
      </c>
      <c r="L455" t="s">
        <v>1461</v>
      </c>
      <c r="M455" t="s">
        <v>44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32</v>
      </c>
      <c r="U455" t="s">
        <v>33</v>
      </c>
      <c r="V455" t="s">
        <v>2834</v>
      </c>
      <c r="W455" t="s">
        <v>2834</v>
      </c>
      <c r="X455" t="s">
        <v>2834</v>
      </c>
      <c r="Y455" t="s">
        <v>2834</v>
      </c>
      <c r="Z455">
        <v>8</v>
      </c>
      <c r="AA455" t="s">
        <v>2789</v>
      </c>
      <c r="AB455">
        <v>0</v>
      </c>
      <c r="AC455" t="s">
        <v>2794</v>
      </c>
      <c r="AD455">
        <v>7417.6</v>
      </c>
      <c r="AE455">
        <v>2461.7400000000007</v>
      </c>
      <c r="AF455">
        <v>0.3318782355478862</v>
      </c>
      <c r="AG455" t="s">
        <v>2824</v>
      </c>
      <c r="AH455">
        <v>2025</v>
      </c>
      <c r="AI455" t="s">
        <v>2835</v>
      </c>
    </row>
    <row r="456" spans="1:35">
      <c r="A456" t="s">
        <v>1462</v>
      </c>
      <c r="B456">
        <v>45739</v>
      </c>
      <c r="C456">
        <v>45744</v>
      </c>
      <c r="D456" t="s">
        <v>1463</v>
      </c>
      <c r="E456" t="s">
        <v>71</v>
      </c>
      <c r="F456" t="s">
        <v>37</v>
      </c>
      <c r="G456" t="s">
        <v>25</v>
      </c>
      <c r="H456" t="s">
        <v>26</v>
      </c>
      <c r="I456" t="s">
        <v>27</v>
      </c>
      <c r="J456" t="s">
        <v>41</v>
      </c>
      <c r="K456" t="s">
        <v>57</v>
      </c>
      <c r="L456" t="s">
        <v>1464</v>
      </c>
      <c r="M456" t="s">
        <v>59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32</v>
      </c>
      <c r="U456" t="s">
        <v>33</v>
      </c>
      <c r="V456" t="s">
        <v>2834</v>
      </c>
      <c r="W456" t="s">
        <v>2834</v>
      </c>
      <c r="X456" t="s">
        <v>2834</v>
      </c>
      <c r="Y456" t="s">
        <v>2834</v>
      </c>
      <c r="Z456">
        <v>5</v>
      </c>
      <c r="AA456" t="s">
        <v>2789</v>
      </c>
      <c r="AB456">
        <v>0.15</v>
      </c>
      <c r="AC456" t="s">
        <v>2794</v>
      </c>
      <c r="AD456">
        <v>25229.7</v>
      </c>
      <c r="AE456">
        <v>5059.2700000000004</v>
      </c>
      <c r="AF456">
        <v>0.20052834556098567</v>
      </c>
      <c r="AG456" t="s">
        <v>2822</v>
      </c>
      <c r="AH456">
        <v>2025</v>
      </c>
      <c r="AI456" t="s">
        <v>2835</v>
      </c>
    </row>
    <row r="457" spans="1:35">
      <c r="A457" t="s">
        <v>1465</v>
      </c>
      <c r="B457">
        <v>45491</v>
      </c>
      <c r="C457">
        <v>45495</v>
      </c>
      <c r="D457" t="s">
        <v>1466</v>
      </c>
      <c r="E457" t="s">
        <v>79</v>
      </c>
      <c r="F457" t="s">
        <v>37</v>
      </c>
      <c r="G457" t="s">
        <v>54</v>
      </c>
      <c r="H457" t="s">
        <v>55</v>
      </c>
      <c r="I457" t="s">
        <v>56</v>
      </c>
      <c r="J457" t="s">
        <v>28</v>
      </c>
      <c r="K457" t="s">
        <v>48</v>
      </c>
      <c r="L457" t="s">
        <v>1467</v>
      </c>
      <c r="M457" t="s">
        <v>59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32</v>
      </c>
      <c r="U457" t="s">
        <v>33</v>
      </c>
      <c r="V457" t="s">
        <v>2834</v>
      </c>
      <c r="W457" t="s">
        <v>2834</v>
      </c>
      <c r="X457" t="s">
        <v>2834</v>
      </c>
      <c r="Y457" t="s">
        <v>2834</v>
      </c>
      <c r="Z457">
        <v>4</v>
      </c>
      <c r="AA457" t="s">
        <v>2789</v>
      </c>
      <c r="AB457">
        <v>0</v>
      </c>
      <c r="AC457" t="s">
        <v>2794</v>
      </c>
      <c r="AD457">
        <v>3235.08</v>
      </c>
      <c r="AE457">
        <v>1386.48</v>
      </c>
      <c r="AF457">
        <v>0.42857672762342819</v>
      </c>
      <c r="AG457" t="s">
        <v>2826</v>
      </c>
      <c r="AH457">
        <v>2024</v>
      </c>
      <c r="AI457" t="s">
        <v>2835</v>
      </c>
    </row>
    <row r="458" spans="1:35">
      <c r="A458" t="s">
        <v>1468</v>
      </c>
      <c r="B458">
        <v>45342</v>
      </c>
      <c r="C458">
        <v>45342</v>
      </c>
      <c r="D458" t="s">
        <v>1469</v>
      </c>
      <c r="E458" t="s">
        <v>79</v>
      </c>
      <c r="F458" t="s">
        <v>90</v>
      </c>
      <c r="G458" t="s">
        <v>25</v>
      </c>
      <c r="H458" t="s">
        <v>136</v>
      </c>
      <c r="I458" t="s">
        <v>137</v>
      </c>
      <c r="J458" t="s">
        <v>74</v>
      </c>
      <c r="K458" t="s">
        <v>75</v>
      </c>
      <c r="L458" t="s">
        <v>1470</v>
      </c>
      <c r="M458" t="s">
        <v>44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32</v>
      </c>
      <c r="U458" t="s">
        <v>103</v>
      </c>
      <c r="V458" t="s">
        <v>2834</v>
      </c>
      <c r="W458" t="s">
        <v>2834</v>
      </c>
      <c r="X458" t="s">
        <v>2834</v>
      </c>
      <c r="Y458" t="s">
        <v>2834</v>
      </c>
      <c r="Z458">
        <v>0</v>
      </c>
      <c r="AA458" t="s">
        <v>2789</v>
      </c>
      <c r="AB458">
        <v>0.15</v>
      </c>
      <c r="AC458" t="s">
        <v>2794</v>
      </c>
      <c r="AD458">
        <v>11070.867499999998</v>
      </c>
      <c r="AE458">
        <v>4447.2574999999988</v>
      </c>
      <c r="AF458">
        <v>0.40170813172499803</v>
      </c>
      <c r="AG458" t="s">
        <v>2821</v>
      </c>
      <c r="AH458">
        <v>2024</v>
      </c>
      <c r="AI458" t="s">
        <v>2835</v>
      </c>
    </row>
    <row r="459" spans="1:35">
      <c r="A459" t="s">
        <v>1471</v>
      </c>
      <c r="B459">
        <v>45416</v>
      </c>
      <c r="C459">
        <v>45416</v>
      </c>
      <c r="D459" t="s">
        <v>1472</v>
      </c>
      <c r="E459" t="s">
        <v>36</v>
      </c>
      <c r="F459" t="s">
        <v>37</v>
      </c>
      <c r="G459" t="s">
        <v>63</v>
      </c>
      <c r="H459" t="s">
        <v>190</v>
      </c>
      <c r="I459" t="s">
        <v>191</v>
      </c>
      <c r="J459" t="s">
        <v>41</v>
      </c>
      <c r="K459" t="s">
        <v>42</v>
      </c>
      <c r="L459" t="s">
        <v>1473</v>
      </c>
      <c r="M459" t="s">
        <v>59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32</v>
      </c>
      <c r="U459" t="s">
        <v>33</v>
      </c>
      <c r="V459" t="s">
        <v>2834</v>
      </c>
      <c r="W459" t="s">
        <v>2834</v>
      </c>
      <c r="X459" t="s">
        <v>2834</v>
      </c>
      <c r="Y459" t="s">
        <v>2834</v>
      </c>
      <c r="Z459">
        <v>0</v>
      </c>
      <c r="AA459" t="s">
        <v>2789</v>
      </c>
      <c r="AB459">
        <v>0</v>
      </c>
      <c r="AC459" t="s">
        <v>2794</v>
      </c>
      <c r="AD459">
        <v>19960.57</v>
      </c>
      <c r="AE459">
        <v>3356.9700000000012</v>
      </c>
      <c r="AF459">
        <v>0.1681800670020947</v>
      </c>
      <c r="AG459" t="s">
        <v>2824</v>
      </c>
      <c r="AH459">
        <v>2024</v>
      </c>
      <c r="AI459" t="s">
        <v>2835</v>
      </c>
    </row>
    <row r="460" spans="1:35">
      <c r="A460" t="s">
        <v>1474</v>
      </c>
      <c r="B460">
        <v>45332</v>
      </c>
      <c r="C460">
        <v>45333</v>
      </c>
      <c r="D460" t="s">
        <v>1475</v>
      </c>
      <c r="E460" t="s">
        <v>23</v>
      </c>
      <c r="F460" t="s">
        <v>90</v>
      </c>
      <c r="G460" t="s">
        <v>25</v>
      </c>
      <c r="H460" t="s">
        <v>26</v>
      </c>
      <c r="I460" t="s">
        <v>27</v>
      </c>
      <c r="J460" t="s">
        <v>74</v>
      </c>
      <c r="K460" t="s">
        <v>171</v>
      </c>
      <c r="L460" t="s">
        <v>1476</v>
      </c>
      <c r="M460" t="s">
        <v>31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32</v>
      </c>
      <c r="U460" t="s">
        <v>33</v>
      </c>
      <c r="V460" t="s">
        <v>2834</v>
      </c>
      <c r="W460" t="s">
        <v>2834</v>
      </c>
      <c r="X460" t="s">
        <v>2834</v>
      </c>
      <c r="Y460" t="s">
        <v>2834</v>
      </c>
      <c r="Z460">
        <v>1</v>
      </c>
      <c r="AA460" t="s">
        <v>2789</v>
      </c>
      <c r="AB460">
        <v>0.1</v>
      </c>
      <c r="AC460" t="s">
        <v>2794</v>
      </c>
      <c r="AD460">
        <v>8596.0439999999999</v>
      </c>
      <c r="AE460">
        <v>3217.884</v>
      </c>
      <c r="AF460">
        <v>0.37434475672762962</v>
      </c>
      <c r="AG460" t="s">
        <v>2821</v>
      </c>
      <c r="AH460">
        <v>2024</v>
      </c>
      <c r="AI460" t="s">
        <v>2835</v>
      </c>
    </row>
    <row r="461" spans="1:35">
      <c r="A461" t="s">
        <v>1477</v>
      </c>
      <c r="B461">
        <v>45379</v>
      </c>
      <c r="C461">
        <v>45386</v>
      </c>
      <c r="D461" t="s">
        <v>1478</v>
      </c>
      <c r="E461" t="s">
        <v>62</v>
      </c>
      <c r="F461" t="s">
        <v>95</v>
      </c>
      <c r="G461" t="s">
        <v>63</v>
      </c>
      <c r="H461" t="s">
        <v>190</v>
      </c>
      <c r="I461" t="s">
        <v>191</v>
      </c>
      <c r="J461" t="s">
        <v>28</v>
      </c>
      <c r="K461" t="s">
        <v>29</v>
      </c>
      <c r="L461" t="s">
        <v>1479</v>
      </c>
      <c r="M461" t="s">
        <v>50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32</v>
      </c>
      <c r="U461" t="s">
        <v>33</v>
      </c>
      <c r="V461" t="s">
        <v>2834</v>
      </c>
      <c r="W461" t="s">
        <v>2834</v>
      </c>
      <c r="X461" t="s">
        <v>2834</v>
      </c>
      <c r="Y461" t="s">
        <v>2834</v>
      </c>
      <c r="Z461">
        <v>7</v>
      </c>
      <c r="AA461" t="s">
        <v>2789</v>
      </c>
      <c r="AB461">
        <v>0</v>
      </c>
      <c r="AC461" t="s">
        <v>2794</v>
      </c>
      <c r="AD461">
        <v>3452.76</v>
      </c>
      <c r="AE461">
        <v>1374.8000000000002</v>
      </c>
      <c r="AF461">
        <v>0.39817421425178701</v>
      </c>
      <c r="AG461" t="s">
        <v>2822</v>
      </c>
      <c r="AH461">
        <v>2024</v>
      </c>
      <c r="AI461" t="s">
        <v>2835</v>
      </c>
    </row>
    <row r="462" spans="1:35">
      <c r="A462" t="s">
        <v>1480</v>
      </c>
      <c r="B462">
        <v>45930</v>
      </c>
      <c r="C462">
        <v>45936</v>
      </c>
      <c r="D462" t="s">
        <v>1481</v>
      </c>
      <c r="E462" t="s">
        <v>128</v>
      </c>
      <c r="F462" t="s">
        <v>90</v>
      </c>
      <c r="G462" t="s">
        <v>2791</v>
      </c>
      <c r="H462" t="s">
        <v>26</v>
      </c>
      <c r="I462" t="s">
        <v>27</v>
      </c>
      <c r="J462" t="s">
        <v>74</v>
      </c>
      <c r="K462" t="s">
        <v>80</v>
      </c>
      <c r="L462" t="s">
        <v>1482</v>
      </c>
      <c r="M462" t="s">
        <v>31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32</v>
      </c>
      <c r="U462" t="s">
        <v>33</v>
      </c>
      <c r="V462" t="s">
        <v>2834</v>
      </c>
      <c r="W462" t="s">
        <v>2834</v>
      </c>
      <c r="X462" t="s">
        <v>2834</v>
      </c>
      <c r="Y462" t="s">
        <v>2834</v>
      </c>
      <c r="Z462">
        <v>6</v>
      </c>
      <c r="AA462" t="s">
        <v>2789</v>
      </c>
      <c r="AB462">
        <v>0.05</v>
      </c>
      <c r="AC462" t="s">
        <v>2794</v>
      </c>
      <c r="AD462">
        <v>11626.974000000002</v>
      </c>
      <c r="AE462">
        <v>4232.9040000000023</v>
      </c>
      <c r="AF462">
        <v>0.36405895463428417</v>
      </c>
      <c r="AG462" t="s">
        <v>2828</v>
      </c>
      <c r="AH462">
        <v>2025</v>
      </c>
      <c r="AI462" t="s">
        <v>2838</v>
      </c>
    </row>
    <row r="463" spans="1:35">
      <c r="A463" t="s">
        <v>1483</v>
      </c>
      <c r="B463">
        <v>45802</v>
      </c>
      <c r="C463">
        <v>45803</v>
      </c>
      <c r="D463" t="s">
        <v>1484</v>
      </c>
      <c r="E463" t="s">
        <v>79</v>
      </c>
      <c r="F463" t="s">
        <v>90</v>
      </c>
      <c r="G463" t="s">
        <v>54</v>
      </c>
      <c r="H463" t="s">
        <v>84</v>
      </c>
      <c r="I463" t="s">
        <v>85</v>
      </c>
      <c r="J463" t="s">
        <v>28</v>
      </c>
      <c r="K463" t="s">
        <v>29</v>
      </c>
      <c r="L463" t="s">
        <v>1485</v>
      </c>
      <c r="M463" t="s">
        <v>59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32</v>
      </c>
      <c r="U463" t="s">
        <v>33</v>
      </c>
      <c r="V463" t="s">
        <v>2834</v>
      </c>
      <c r="W463" t="s">
        <v>2834</v>
      </c>
      <c r="X463" t="s">
        <v>2834</v>
      </c>
      <c r="Y463" t="s">
        <v>2834</v>
      </c>
      <c r="Z463">
        <v>1</v>
      </c>
      <c r="AA463" t="s">
        <v>2789</v>
      </c>
      <c r="AB463">
        <v>0.15</v>
      </c>
      <c r="AC463" t="s">
        <v>2794</v>
      </c>
      <c r="AD463">
        <v>8614.2825000000012</v>
      </c>
      <c r="AE463">
        <v>1562.2025000000012</v>
      </c>
      <c r="AF463">
        <v>0.18135027496486225</v>
      </c>
      <c r="AG463" t="s">
        <v>2824</v>
      </c>
      <c r="AH463">
        <v>2025</v>
      </c>
      <c r="AI463" t="s">
        <v>2835</v>
      </c>
    </row>
    <row r="464" spans="1:35">
      <c r="A464" t="s">
        <v>1486</v>
      </c>
      <c r="B464">
        <v>45558</v>
      </c>
      <c r="C464">
        <v>45560</v>
      </c>
      <c r="D464" t="s">
        <v>1487</v>
      </c>
      <c r="E464" t="s">
        <v>128</v>
      </c>
      <c r="F464" t="s">
        <v>95</v>
      </c>
      <c r="G464" t="s">
        <v>25</v>
      </c>
      <c r="H464" t="s">
        <v>350</v>
      </c>
      <c r="I464" t="s">
        <v>351</v>
      </c>
      <c r="J464" t="s">
        <v>28</v>
      </c>
      <c r="K464" t="s">
        <v>153</v>
      </c>
      <c r="L464" t="s">
        <v>1488</v>
      </c>
      <c r="M464" t="s">
        <v>50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32</v>
      </c>
      <c r="U464" t="s">
        <v>33</v>
      </c>
      <c r="V464" t="s">
        <v>2834</v>
      </c>
      <c r="W464" t="s">
        <v>2834</v>
      </c>
      <c r="X464" t="s">
        <v>2834</v>
      </c>
      <c r="Y464" t="s">
        <v>2834</v>
      </c>
      <c r="Z464">
        <v>2</v>
      </c>
      <c r="AA464" t="s">
        <v>2789</v>
      </c>
      <c r="AB464">
        <v>0.2</v>
      </c>
      <c r="AC464" t="s">
        <v>2794</v>
      </c>
      <c r="AD464">
        <v>2040.2240000000002</v>
      </c>
      <c r="AE464">
        <v>644.51400000000012</v>
      </c>
      <c r="AF464">
        <v>0.31590354784572677</v>
      </c>
      <c r="AG464" t="s">
        <v>2828</v>
      </c>
      <c r="AH464">
        <v>2024</v>
      </c>
      <c r="AI464" t="s">
        <v>2835</v>
      </c>
    </row>
    <row r="465" spans="1:35">
      <c r="A465" t="s">
        <v>1489</v>
      </c>
      <c r="B465">
        <v>45695</v>
      </c>
      <c r="C465">
        <v>45696</v>
      </c>
      <c r="D465" t="s">
        <v>1490</v>
      </c>
      <c r="E465" t="s">
        <v>53</v>
      </c>
      <c r="F465" t="s">
        <v>90</v>
      </c>
      <c r="G465" t="s">
        <v>63</v>
      </c>
      <c r="H465" t="s">
        <v>72</v>
      </c>
      <c r="I465" t="s">
        <v>73</v>
      </c>
      <c r="J465" t="s">
        <v>74</v>
      </c>
      <c r="K465" t="s">
        <v>171</v>
      </c>
      <c r="L465" t="s">
        <v>1491</v>
      </c>
      <c r="M465" t="s">
        <v>59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32</v>
      </c>
      <c r="U465" t="s">
        <v>33</v>
      </c>
      <c r="V465" t="s">
        <v>2834</v>
      </c>
      <c r="W465" t="s">
        <v>2834</v>
      </c>
      <c r="X465" t="s">
        <v>2834</v>
      </c>
      <c r="Y465" t="s">
        <v>2834</v>
      </c>
      <c r="Z465">
        <v>1</v>
      </c>
      <c r="AA465" t="s">
        <v>2789</v>
      </c>
      <c r="AB465">
        <v>0.2</v>
      </c>
      <c r="AC465" t="s">
        <v>2794</v>
      </c>
      <c r="AD465">
        <v>2846.4</v>
      </c>
      <c r="AE465">
        <v>714.0300000000002</v>
      </c>
      <c r="AF465">
        <v>0.25085370994940986</v>
      </c>
      <c r="AG465" t="s">
        <v>2821</v>
      </c>
      <c r="AH465">
        <v>2025</v>
      </c>
      <c r="AI465" t="s">
        <v>2835</v>
      </c>
    </row>
    <row r="466" spans="1:35">
      <c r="A466" t="s">
        <v>1492</v>
      </c>
      <c r="B466">
        <v>45727</v>
      </c>
      <c r="C466">
        <v>45731</v>
      </c>
      <c r="D466" t="s">
        <v>1493</v>
      </c>
      <c r="E466" t="s">
        <v>53</v>
      </c>
      <c r="F466" t="s">
        <v>90</v>
      </c>
      <c r="G466" t="s">
        <v>38</v>
      </c>
      <c r="H466" t="s">
        <v>145</v>
      </c>
      <c r="I466" t="s">
        <v>146</v>
      </c>
      <c r="J466" t="s">
        <v>28</v>
      </c>
      <c r="K466" t="s">
        <v>29</v>
      </c>
      <c r="L466" t="s">
        <v>1494</v>
      </c>
      <c r="M466" t="s">
        <v>44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111</v>
      </c>
      <c r="U466" t="s">
        <v>68</v>
      </c>
      <c r="V466" t="s">
        <v>2834</v>
      </c>
      <c r="W466" t="s">
        <v>2834</v>
      </c>
      <c r="X466" t="s">
        <v>2834</v>
      </c>
      <c r="Y466" t="s">
        <v>2834</v>
      </c>
      <c r="Z466">
        <v>4</v>
      </c>
      <c r="AA466" t="s">
        <v>2789</v>
      </c>
      <c r="AB466">
        <v>0.05</v>
      </c>
      <c r="AC466" t="s">
        <v>2794</v>
      </c>
      <c r="AD466">
        <v>10331.477999999999</v>
      </c>
      <c r="AE466">
        <v>3199.5679999999993</v>
      </c>
      <c r="AF466">
        <v>0.30969121746181905</v>
      </c>
      <c r="AG466" t="s">
        <v>2822</v>
      </c>
      <c r="AH466">
        <v>2025</v>
      </c>
      <c r="AI466" t="s">
        <v>2835</v>
      </c>
    </row>
    <row r="467" spans="1:35">
      <c r="A467" t="s">
        <v>1495</v>
      </c>
      <c r="B467">
        <v>45320</v>
      </c>
      <c r="C467">
        <v>45328</v>
      </c>
      <c r="D467" t="s">
        <v>1496</v>
      </c>
      <c r="E467" t="s">
        <v>128</v>
      </c>
      <c r="F467" t="s">
        <v>37</v>
      </c>
      <c r="G467" t="s">
        <v>63</v>
      </c>
      <c r="H467" t="s">
        <v>72</v>
      </c>
      <c r="I467" t="s">
        <v>73</v>
      </c>
      <c r="J467" t="s">
        <v>28</v>
      </c>
      <c r="K467" t="s">
        <v>91</v>
      </c>
      <c r="L467" t="s">
        <v>1497</v>
      </c>
      <c r="M467" t="s">
        <v>59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32</v>
      </c>
      <c r="U467" t="s">
        <v>33</v>
      </c>
      <c r="V467" t="s">
        <v>2834</v>
      </c>
      <c r="W467" t="s">
        <v>2834</v>
      </c>
      <c r="X467" t="s">
        <v>2834</v>
      </c>
      <c r="Y467" t="s">
        <v>2834</v>
      </c>
      <c r="Z467">
        <v>8</v>
      </c>
      <c r="AA467" t="s">
        <v>2789</v>
      </c>
      <c r="AB467">
        <v>0</v>
      </c>
      <c r="AC467" t="s">
        <v>2794</v>
      </c>
      <c r="AD467">
        <v>2517.8000000000002</v>
      </c>
      <c r="AE467">
        <v>1039.2600000000002</v>
      </c>
      <c r="AF467">
        <v>0.41276511239971408</v>
      </c>
      <c r="AG467" t="s">
        <v>2820</v>
      </c>
      <c r="AH467">
        <v>2024</v>
      </c>
      <c r="AI467" t="s">
        <v>2835</v>
      </c>
    </row>
    <row r="468" spans="1:35">
      <c r="A468" t="s">
        <v>1498</v>
      </c>
      <c r="B468">
        <v>45295</v>
      </c>
      <c r="C468">
        <v>45299</v>
      </c>
      <c r="D468" t="s">
        <v>1499</v>
      </c>
      <c r="E468" t="s">
        <v>36</v>
      </c>
      <c r="F468" t="s">
        <v>37</v>
      </c>
      <c r="G468" t="s">
        <v>38</v>
      </c>
      <c r="H468" t="s">
        <v>145</v>
      </c>
      <c r="I468" t="s">
        <v>146</v>
      </c>
      <c r="J468" t="s">
        <v>74</v>
      </c>
      <c r="K468" t="s">
        <v>75</v>
      </c>
      <c r="L468" t="s">
        <v>1500</v>
      </c>
      <c r="M468" t="s">
        <v>44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32</v>
      </c>
      <c r="U468" t="s">
        <v>33</v>
      </c>
      <c r="V468" t="s">
        <v>2834</v>
      </c>
      <c r="W468" t="s">
        <v>2834</v>
      </c>
      <c r="X468" t="s">
        <v>2834</v>
      </c>
      <c r="Y468" t="s">
        <v>2834</v>
      </c>
      <c r="Z468">
        <v>4</v>
      </c>
      <c r="AA468" t="s">
        <v>2789</v>
      </c>
      <c r="AB468">
        <v>0.2</v>
      </c>
      <c r="AC468" t="s">
        <v>2794</v>
      </c>
      <c r="AD468">
        <v>11462.112000000001</v>
      </c>
      <c r="AE468">
        <v>4356.6320000000014</v>
      </c>
      <c r="AF468">
        <v>0.38008981241851425</v>
      </c>
      <c r="AG468" t="s">
        <v>2820</v>
      </c>
      <c r="AH468">
        <v>2024</v>
      </c>
      <c r="AI468" t="s">
        <v>2835</v>
      </c>
    </row>
    <row r="469" spans="1:35">
      <c r="A469" t="s">
        <v>1501</v>
      </c>
      <c r="B469">
        <v>45524</v>
      </c>
      <c r="C469">
        <v>45525</v>
      </c>
      <c r="D469" t="s">
        <v>1502</v>
      </c>
      <c r="E469" t="s">
        <v>89</v>
      </c>
      <c r="F469" t="s">
        <v>90</v>
      </c>
      <c r="G469" t="s">
        <v>38</v>
      </c>
      <c r="H469" t="s">
        <v>39</v>
      </c>
      <c r="I469" t="s">
        <v>40</v>
      </c>
      <c r="J469" t="s">
        <v>74</v>
      </c>
      <c r="K469" t="s">
        <v>80</v>
      </c>
      <c r="L469" t="s">
        <v>1503</v>
      </c>
      <c r="M469" t="s">
        <v>50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102</v>
      </c>
      <c r="U469" t="s">
        <v>68</v>
      </c>
      <c r="V469" t="s">
        <v>2834</v>
      </c>
      <c r="W469" t="s">
        <v>2834</v>
      </c>
      <c r="X469" t="s">
        <v>2834</v>
      </c>
      <c r="Y469" t="s">
        <v>2834</v>
      </c>
      <c r="Z469">
        <v>1</v>
      </c>
      <c r="AA469" t="s">
        <v>2789</v>
      </c>
      <c r="AB469">
        <v>0.1</v>
      </c>
      <c r="AC469" t="s">
        <v>2794</v>
      </c>
      <c r="AD469">
        <v>19297.485000000001</v>
      </c>
      <c r="AE469">
        <v>3845.8250000000007</v>
      </c>
      <c r="AF469">
        <v>0.1992915138941681</v>
      </c>
      <c r="AG469" t="s">
        <v>2827</v>
      </c>
      <c r="AH469">
        <v>2024</v>
      </c>
      <c r="AI469" t="s">
        <v>2835</v>
      </c>
    </row>
    <row r="470" spans="1:35">
      <c r="A470" t="s">
        <v>1504</v>
      </c>
      <c r="B470">
        <v>45666</v>
      </c>
      <c r="C470">
        <v>45664</v>
      </c>
      <c r="D470" t="s">
        <v>1505</v>
      </c>
      <c r="E470" t="s">
        <v>128</v>
      </c>
      <c r="F470" t="s">
        <v>95</v>
      </c>
      <c r="G470" t="s">
        <v>38</v>
      </c>
      <c r="H470" t="s">
        <v>99</v>
      </c>
      <c r="I470" t="s">
        <v>100</v>
      </c>
      <c r="J470" t="s">
        <v>28</v>
      </c>
      <c r="K470" t="s">
        <v>153</v>
      </c>
      <c r="L470" t="s">
        <v>1506</v>
      </c>
      <c r="M470" t="s">
        <v>31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32</v>
      </c>
      <c r="U470" t="s">
        <v>33</v>
      </c>
      <c r="V470" t="s">
        <v>2834</v>
      </c>
      <c r="W470" t="s">
        <v>2834</v>
      </c>
      <c r="X470" t="s">
        <v>2834</v>
      </c>
      <c r="Y470" t="s">
        <v>2837</v>
      </c>
      <c r="Z470">
        <v>-2</v>
      </c>
      <c r="AA470" t="s">
        <v>2789</v>
      </c>
      <c r="AB470">
        <v>0</v>
      </c>
      <c r="AC470" t="s">
        <v>2794</v>
      </c>
      <c r="AD470">
        <v>6564.99</v>
      </c>
      <c r="AE470">
        <v>1157.75</v>
      </c>
      <c r="AF470">
        <v>0.17635213458055535</v>
      </c>
      <c r="AG470" t="s">
        <v>2820</v>
      </c>
      <c r="AH470">
        <v>2025</v>
      </c>
      <c r="AI470" t="s">
        <v>2836</v>
      </c>
    </row>
    <row r="471" spans="1:35">
      <c r="A471" t="s">
        <v>1507</v>
      </c>
      <c r="B471">
        <v>45310</v>
      </c>
      <c r="C471">
        <v>45316</v>
      </c>
      <c r="D471" t="s">
        <v>1508</v>
      </c>
      <c r="E471" t="s">
        <v>89</v>
      </c>
      <c r="F471" t="s">
        <v>90</v>
      </c>
      <c r="G471" t="s">
        <v>63</v>
      </c>
      <c r="H471" t="s">
        <v>190</v>
      </c>
      <c r="I471" t="s">
        <v>191</v>
      </c>
      <c r="J471" t="s">
        <v>74</v>
      </c>
      <c r="K471" t="s">
        <v>80</v>
      </c>
      <c r="L471" t="s">
        <v>1509</v>
      </c>
      <c r="M471" t="s">
        <v>50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32</v>
      </c>
      <c r="U471" t="s">
        <v>33</v>
      </c>
      <c r="V471" t="s">
        <v>2834</v>
      </c>
      <c r="W471" t="s">
        <v>2834</v>
      </c>
      <c r="X471" t="s">
        <v>2834</v>
      </c>
      <c r="Y471" t="s">
        <v>2834</v>
      </c>
      <c r="Z471">
        <v>6</v>
      </c>
      <c r="AA471" t="s">
        <v>2789</v>
      </c>
      <c r="AB471">
        <v>0.1</v>
      </c>
      <c r="AC471" t="s">
        <v>2794</v>
      </c>
      <c r="AD471">
        <v>2812.4820000000004</v>
      </c>
      <c r="AE471">
        <v>530.36200000000053</v>
      </c>
      <c r="AF471">
        <v>0.18857436243147527</v>
      </c>
      <c r="AG471" t="s">
        <v>2820</v>
      </c>
      <c r="AH471">
        <v>2024</v>
      </c>
      <c r="AI471" t="s">
        <v>2835</v>
      </c>
    </row>
    <row r="472" spans="1:35">
      <c r="A472" t="s">
        <v>1510</v>
      </c>
      <c r="B472">
        <v>45501</v>
      </c>
      <c r="C472">
        <v>45504</v>
      </c>
      <c r="D472" t="s">
        <v>1511</v>
      </c>
      <c r="E472" t="s">
        <v>89</v>
      </c>
      <c r="F472" t="s">
        <v>24</v>
      </c>
      <c r="G472" t="s">
        <v>25</v>
      </c>
      <c r="H472" t="s">
        <v>26</v>
      </c>
      <c r="I472" t="s">
        <v>27</v>
      </c>
      <c r="J472" t="s">
        <v>41</v>
      </c>
      <c r="K472" t="s">
        <v>42</v>
      </c>
      <c r="L472" t="s">
        <v>1512</v>
      </c>
      <c r="M472" t="s">
        <v>44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32</v>
      </c>
      <c r="U472" t="s">
        <v>33</v>
      </c>
      <c r="V472" t="s">
        <v>2834</v>
      </c>
      <c r="W472" t="s">
        <v>2834</v>
      </c>
      <c r="X472" t="s">
        <v>2834</v>
      </c>
      <c r="Y472" t="s">
        <v>2834</v>
      </c>
      <c r="Z472">
        <v>3</v>
      </c>
      <c r="AA472" t="s">
        <v>2789</v>
      </c>
      <c r="AB472">
        <v>0.2</v>
      </c>
      <c r="AC472" t="s">
        <v>2794</v>
      </c>
      <c r="AD472">
        <v>7079.6480000000001</v>
      </c>
      <c r="AE472">
        <v>2613.7380000000003</v>
      </c>
      <c r="AF472">
        <v>0.36919038912669105</v>
      </c>
      <c r="AG472" t="s">
        <v>2826</v>
      </c>
      <c r="AH472">
        <v>2024</v>
      </c>
      <c r="AI472" t="s">
        <v>2835</v>
      </c>
    </row>
    <row r="473" spans="1:35">
      <c r="A473" t="s">
        <v>1513</v>
      </c>
      <c r="B473">
        <v>45333</v>
      </c>
      <c r="C473">
        <v>45337</v>
      </c>
      <c r="D473" t="s">
        <v>1514</v>
      </c>
      <c r="E473" t="s">
        <v>264</v>
      </c>
      <c r="F473" t="s">
        <v>24</v>
      </c>
      <c r="G473" t="s">
        <v>54</v>
      </c>
      <c r="H473" t="s">
        <v>55</v>
      </c>
      <c r="I473" t="s">
        <v>56</v>
      </c>
      <c r="J473" t="s">
        <v>28</v>
      </c>
      <c r="K473" t="s">
        <v>153</v>
      </c>
      <c r="L473" t="s">
        <v>1515</v>
      </c>
      <c r="M473" t="s">
        <v>59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32</v>
      </c>
      <c r="U473" t="s">
        <v>33</v>
      </c>
      <c r="V473" t="s">
        <v>2834</v>
      </c>
      <c r="W473" t="s">
        <v>2834</v>
      </c>
      <c r="X473" t="s">
        <v>2834</v>
      </c>
      <c r="Y473" t="s">
        <v>2834</v>
      </c>
      <c r="Z473">
        <v>4</v>
      </c>
      <c r="AA473" t="s">
        <v>2789</v>
      </c>
      <c r="AB473">
        <v>0.25</v>
      </c>
      <c r="AC473" t="s">
        <v>2794</v>
      </c>
      <c r="AD473">
        <v>6793.0650000000005</v>
      </c>
      <c r="AE473">
        <v>1807.8450000000003</v>
      </c>
      <c r="AF473">
        <v>0.26613097327936652</v>
      </c>
      <c r="AG473" t="s">
        <v>2821</v>
      </c>
      <c r="AH473">
        <v>2024</v>
      </c>
      <c r="AI473" t="s">
        <v>2835</v>
      </c>
    </row>
    <row r="474" spans="1:35">
      <c r="A474" t="s">
        <v>1516</v>
      </c>
      <c r="B474">
        <v>45353</v>
      </c>
      <c r="C474">
        <v>45358</v>
      </c>
      <c r="D474" t="s">
        <v>1517</v>
      </c>
      <c r="E474" t="s">
        <v>141</v>
      </c>
      <c r="F474" t="s">
        <v>90</v>
      </c>
      <c r="G474" t="s">
        <v>38</v>
      </c>
      <c r="H474" t="s">
        <v>39</v>
      </c>
      <c r="I474" t="s">
        <v>40</v>
      </c>
      <c r="J474" t="s">
        <v>28</v>
      </c>
      <c r="K474" t="s">
        <v>124</v>
      </c>
      <c r="L474" t="s">
        <v>1518</v>
      </c>
      <c r="M474" t="s">
        <v>59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32</v>
      </c>
      <c r="U474" t="s">
        <v>33</v>
      </c>
      <c r="V474" t="s">
        <v>2834</v>
      </c>
      <c r="W474" t="s">
        <v>2834</v>
      </c>
      <c r="X474" t="s">
        <v>2834</v>
      </c>
      <c r="Y474" t="s">
        <v>2834</v>
      </c>
      <c r="Z474">
        <v>5</v>
      </c>
      <c r="AA474" t="s">
        <v>2789</v>
      </c>
      <c r="AB474">
        <v>0</v>
      </c>
      <c r="AC474" t="s">
        <v>2794</v>
      </c>
      <c r="AD474">
        <v>1844.2199999999998</v>
      </c>
      <c r="AE474">
        <v>750.00999999999976</v>
      </c>
      <c r="AF474">
        <v>0.40668141544934977</v>
      </c>
      <c r="AG474" t="s">
        <v>2822</v>
      </c>
      <c r="AH474">
        <v>2024</v>
      </c>
      <c r="AI474" t="s">
        <v>2835</v>
      </c>
    </row>
    <row r="475" spans="1:35">
      <c r="A475" t="s">
        <v>1519</v>
      </c>
      <c r="B475">
        <v>45609</v>
      </c>
      <c r="C475">
        <v>45609</v>
      </c>
      <c r="D475" t="s">
        <v>1520</v>
      </c>
      <c r="E475" t="s">
        <v>114</v>
      </c>
      <c r="F475" t="s">
        <v>24</v>
      </c>
      <c r="G475" t="s">
        <v>63</v>
      </c>
      <c r="H475" t="s">
        <v>190</v>
      </c>
      <c r="I475" t="s">
        <v>191</v>
      </c>
      <c r="J475" t="s">
        <v>74</v>
      </c>
      <c r="K475" t="s">
        <v>80</v>
      </c>
      <c r="L475" t="s">
        <v>1521</v>
      </c>
      <c r="M475" t="s">
        <v>59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32</v>
      </c>
      <c r="U475" t="s">
        <v>33</v>
      </c>
      <c r="V475" t="s">
        <v>2834</v>
      </c>
      <c r="W475" t="s">
        <v>2834</v>
      </c>
      <c r="X475" t="s">
        <v>2834</v>
      </c>
      <c r="Y475" t="s">
        <v>2834</v>
      </c>
      <c r="Z475">
        <v>0</v>
      </c>
      <c r="AA475" t="s">
        <v>2789</v>
      </c>
      <c r="AB475">
        <v>0.2</v>
      </c>
      <c r="AC475" t="s">
        <v>2794</v>
      </c>
      <c r="AD475">
        <v>918.95999999999992</v>
      </c>
      <c r="AE475">
        <v>364.78</v>
      </c>
      <c r="AF475">
        <v>0.39694872464525116</v>
      </c>
      <c r="AG475" t="s">
        <v>2830</v>
      </c>
      <c r="AH475">
        <v>2024</v>
      </c>
      <c r="AI475" t="s">
        <v>2835</v>
      </c>
    </row>
    <row r="476" spans="1:35">
      <c r="A476" t="s">
        <v>1522</v>
      </c>
      <c r="B476">
        <v>45446</v>
      </c>
      <c r="C476">
        <v>45453</v>
      </c>
      <c r="D476" t="s">
        <v>1523</v>
      </c>
      <c r="E476" t="s">
        <v>162</v>
      </c>
      <c r="F476" t="s">
        <v>90</v>
      </c>
      <c r="G476" t="s">
        <v>25</v>
      </c>
      <c r="H476" t="s">
        <v>122</v>
      </c>
      <c r="I476" t="s">
        <v>123</v>
      </c>
      <c r="J476" t="s">
        <v>41</v>
      </c>
      <c r="K476" t="s">
        <v>57</v>
      </c>
      <c r="L476" t="s">
        <v>1524</v>
      </c>
      <c r="M476" t="s">
        <v>59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32</v>
      </c>
      <c r="U476" t="s">
        <v>33</v>
      </c>
      <c r="V476" t="s">
        <v>2834</v>
      </c>
      <c r="W476" t="s">
        <v>2834</v>
      </c>
      <c r="X476" t="s">
        <v>2834</v>
      </c>
      <c r="Y476" t="s">
        <v>2834</v>
      </c>
      <c r="Z476">
        <v>7</v>
      </c>
      <c r="AA476" t="s">
        <v>2789</v>
      </c>
      <c r="AB476">
        <v>0</v>
      </c>
      <c r="AC476" t="s">
        <v>2794</v>
      </c>
      <c r="AD476">
        <v>4900.71</v>
      </c>
      <c r="AE476">
        <v>2186.81</v>
      </c>
      <c r="AF476">
        <v>0.44622309828575857</v>
      </c>
      <c r="AG476" t="s">
        <v>2825</v>
      </c>
      <c r="AH476">
        <v>2024</v>
      </c>
      <c r="AI476" t="s">
        <v>2835</v>
      </c>
    </row>
    <row r="477" spans="1:35">
      <c r="A477" t="s">
        <v>1525</v>
      </c>
      <c r="B477">
        <v>45717</v>
      </c>
      <c r="C477">
        <v>45724</v>
      </c>
      <c r="D477" t="s">
        <v>1526</v>
      </c>
      <c r="E477" t="s">
        <v>71</v>
      </c>
      <c r="F477" t="s">
        <v>24</v>
      </c>
      <c r="G477" t="s">
        <v>38</v>
      </c>
      <c r="H477" t="s">
        <v>99</v>
      </c>
      <c r="I477" t="s">
        <v>100</v>
      </c>
      <c r="J477" t="s">
        <v>41</v>
      </c>
      <c r="K477" t="s">
        <v>66</v>
      </c>
      <c r="L477" t="s">
        <v>1527</v>
      </c>
      <c r="M477" t="s">
        <v>44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111</v>
      </c>
      <c r="U477" t="s">
        <v>103</v>
      </c>
      <c r="V477" t="s">
        <v>2834</v>
      </c>
      <c r="W477" t="s">
        <v>2834</v>
      </c>
      <c r="X477" t="s">
        <v>2834</v>
      </c>
      <c r="Y477" t="s">
        <v>2834</v>
      </c>
      <c r="Z477">
        <v>7</v>
      </c>
      <c r="AA477" t="s">
        <v>2789</v>
      </c>
      <c r="AB477">
        <v>0.25</v>
      </c>
      <c r="AC477" t="s">
        <v>2794</v>
      </c>
      <c r="AD477">
        <v>20272.920000000002</v>
      </c>
      <c r="AE477">
        <v>4399.5400000000027</v>
      </c>
      <c r="AF477">
        <v>0.21701560505344086</v>
      </c>
      <c r="AG477" t="s">
        <v>2822</v>
      </c>
      <c r="AH477">
        <v>2025</v>
      </c>
      <c r="AI477" t="s">
        <v>2835</v>
      </c>
    </row>
    <row r="478" spans="1:35">
      <c r="A478" t="s">
        <v>1528</v>
      </c>
      <c r="B478">
        <v>45419</v>
      </c>
      <c r="C478">
        <v>45426</v>
      </c>
      <c r="D478" t="s">
        <v>1529</v>
      </c>
      <c r="E478" t="s">
        <v>132</v>
      </c>
      <c r="F478" t="s">
        <v>37</v>
      </c>
      <c r="G478" t="s">
        <v>25</v>
      </c>
      <c r="H478" t="s">
        <v>26</v>
      </c>
      <c r="I478" t="s">
        <v>27</v>
      </c>
      <c r="J478" t="s">
        <v>28</v>
      </c>
      <c r="K478" t="s">
        <v>124</v>
      </c>
      <c r="L478" t="s">
        <v>1530</v>
      </c>
      <c r="M478" t="s">
        <v>50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32</v>
      </c>
      <c r="U478" t="s">
        <v>33</v>
      </c>
      <c r="V478" t="s">
        <v>2834</v>
      </c>
      <c r="W478" t="s">
        <v>2834</v>
      </c>
      <c r="X478" t="s">
        <v>2834</v>
      </c>
      <c r="Y478" t="s">
        <v>2834</v>
      </c>
      <c r="Z478">
        <v>7</v>
      </c>
      <c r="AA478" t="s">
        <v>2789</v>
      </c>
      <c r="AB478">
        <v>0.1</v>
      </c>
      <c r="AC478" t="s">
        <v>2794</v>
      </c>
      <c r="AD478">
        <v>1035.6659999999999</v>
      </c>
      <c r="AE478">
        <v>440.24599999999998</v>
      </c>
      <c r="AF478">
        <v>0.42508492120046426</v>
      </c>
      <c r="AG478" t="s">
        <v>2824</v>
      </c>
      <c r="AH478">
        <v>2024</v>
      </c>
      <c r="AI478" t="s">
        <v>2835</v>
      </c>
    </row>
    <row r="479" spans="1:35">
      <c r="A479" t="s">
        <v>1531</v>
      </c>
      <c r="B479">
        <v>45892</v>
      </c>
      <c r="C479">
        <v>45897</v>
      </c>
      <c r="D479" t="s">
        <v>1532</v>
      </c>
      <c r="E479" t="s">
        <v>71</v>
      </c>
      <c r="F479" t="s">
        <v>90</v>
      </c>
      <c r="G479" t="s">
        <v>63</v>
      </c>
      <c r="H479" t="s">
        <v>180</v>
      </c>
      <c r="I479" t="s">
        <v>181</v>
      </c>
      <c r="J479" t="s">
        <v>41</v>
      </c>
      <c r="K479" t="s">
        <v>66</v>
      </c>
      <c r="L479" t="s">
        <v>1533</v>
      </c>
      <c r="M479" t="s">
        <v>59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32</v>
      </c>
      <c r="U479" t="s">
        <v>68</v>
      </c>
      <c r="V479" t="s">
        <v>2834</v>
      </c>
      <c r="W479" t="s">
        <v>2834</v>
      </c>
      <c r="X479" t="s">
        <v>2834</v>
      </c>
      <c r="Y479" t="s">
        <v>2834</v>
      </c>
      <c r="Z479">
        <v>5</v>
      </c>
      <c r="AA479" t="s">
        <v>2789</v>
      </c>
      <c r="AB479">
        <v>0.1</v>
      </c>
      <c r="AC479" t="s">
        <v>2794</v>
      </c>
      <c r="AD479">
        <v>11843.442000000001</v>
      </c>
      <c r="AE479">
        <v>2486.5620000000017</v>
      </c>
      <c r="AF479">
        <v>0.20995264721184953</v>
      </c>
      <c r="AG479" t="s">
        <v>2827</v>
      </c>
      <c r="AH479">
        <v>2025</v>
      </c>
      <c r="AI479" t="s">
        <v>2835</v>
      </c>
    </row>
    <row r="480" spans="1:35">
      <c r="A480" t="s">
        <v>1534</v>
      </c>
      <c r="B480">
        <v>45452</v>
      </c>
      <c r="C480">
        <v>45456</v>
      </c>
      <c r="D480" t="s">
        <v>1535</v>
      </c>
      <c r="E480" t="s">
        <v>36</v>
      </c>
      <c r="F480" t="s">
        <v>95</v>
      </c>
      <c r="G480" t="s">
        <v>2791</v>
      </c>
      <c r="H480" t="s">
        <v>136</v>
      </c>
      <c r="I480" t="s">
        <v>137</v>
      </c>
      <c r="J480" t="s">
        <v>74</v>
      </c>
      <c r="K480" t="s">
        <v>274</v>
      </c>
      <c r="L480" t="s">
        <v>1536</v>
      </c>
      <c r="M480" t="s">
        <v>44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102</v>
      </c>
      <c r="U480" t="s">
        <v>103</v>
      </c>
      <c r="V480" t="s">
        <v>2834</v>
      </c>
      <c r="W480" t="s">
        <v>2834</v>
      </c>
      <c r="X480" t="s">
        <v>2834</v>
      </c>
      <c r="Y480" t="s">
        <v>2834</v>
      </c>
      <c r="Z480">
        <v>4</v>
      </c>
      <c r="AA480" t="s">
        <v>2789</v>
      </c>
      <c r="AB480">
        <v>0.1</v>
      </c>
      <c r="AC480" t="s">
        <v>2794</v>
      </c>
      <c r="AD480">
        <v>25702.173000000003</v>
      </c>
      <c r="AE480">
        <v>11130.693000000003</v>
      </c>
      <c r="AF480">
        <v>0.43306427826160854</v>
      </c>
      <c r="AG480" t="s">
        <v>2825</v>
      </c>
      <c r="AH480">
        <v>2024</v>
      </c>
      <c r="AI480" t="s">
        <v>2838</v>
      </c>
    </row>
    <row r="481" spans="1:35">
      <c r="A481" t="s">
        <v>1537</v>
      </c>
      <c r="B481">
        <v>45345</v>
      </c>
      <c r="C481">
        <v>45342</v>
      </c>
      <c r="D481" t="s">
        <v>1538</v>
      </c>
      <c r="E481" t="s">
        <v>53</v>
      </c>
      <c r="F481" t="s">
        <v>90</v>
      </c>
      <c r="G481" t="s">
        <v>38</v>
      </c>
      <c r="H481" t="s">
        <v>39</v>
      </c>
      <c r="I481" t="s">
        <v>40</v>
      </c>
      <c r="J481" t="s">
        <v>41</v>
      </c>
      <c r="K481" t="s">
        <v>66</v>
      </c>
      <c r="L481" t="s">
        <v>1539</v>
      </c>
      <c r="M481" t="s">
        <v>31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32</v>
      </c>
      <c r="U481" t="s">
        <v>33</v>
      </c>
      <c r="V481" t="s">
        <v>2834</v>
      </c>
      <c r="W481" t="s">
        <v>2834</v>
      </c>
      <c r="X481" t="s">
        <v>2834</v>
      </c>
      <c r="Y481" t="s">
        <v>2837</v>
      </c>
      <c r="Z481">
        <v>-3</v>
      </c>
      <c r="AA481" t="s">
        <v>2789</v>
      </c>
      <c r="AB481">
        <v>0</v>
      </c>
      <c r="AC481" t="s">
        <v>2796</v>
      </c>
      <c r="AD481">
        <v>2202.5500000000002</v>
      </c>
      <c r="AE481">
        <v>1167.9800000000002</v>
      </c>
      <c r="AF481">
        <v>0.53028535107035035</v>
      </c>
      <c r="AG481" t="s">
        <v>2821</v>
      </c>
      <c r="AH481">
        <v>2024</v>
      </c>
      <c r="AI481" t="s">
        <v>2836</v>
      </c>
    </row>
    <row r="482" spans="1:35">
      <c r="A482" t="s">
        <v>1540</v>
      </c>
      <c r="B482">
        <v>45662</v>
      </c>
      <c r="C482">
        <v>45666</v>
      </c>
      <c r="D482" t="s">
        <v>1541</v>
      </c>
      <c r="E482" t="s">
        <v>79</v>
      </c>
      <c r="F482" t="s">
        <v>37</v>
      </c>
      <c r="G482" t="s">
        <v>54</v>
      </c>
      <c r="H482" t="s">
        <v>247</v>
      </c>
      <c r="I482" t="s">
        <v>248</v>
      </c>
      <c r="J482" t="s">
        <v>28</v>
      </c>
      <c r="K482" t="s">
        <v>124</v>
      </c>
      <c r="L482" t="s">
        <v>1542</v>
      </c>
      <c r="M482" t="s">
        <v>2791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32</v>
      </c>
      <c r="U482" t="s">
        <v>33</v>
      </c>
      <c r="V482" t="s">
        <v>2834</v>
      </c>
      <c r="W482" t="s">
        <v>2834</v>
      </c>
      <c r="X482" t="s">
        <v>2834</v>
      </c>
      <c r="Y482" t="s">
        <v>2834</v>
      </c>
      <c r="Z482">
        <v>4</v>
      </c>
      <c r="AA482" t="s">
        <v>2789</v>
      </c>
      <c r="AB482">
        <v>0</v>
      </c>
      <c r="AC482" t="s">
        <v>2794</v>
      </c>
      <c r="AD482">
        <v>4525.8</v>
      </c>
      <c r="AE482">
        <v>1811.29</v>
      </c>
      <c r="AF482">
        <v>0.40021432674886204</v>
      </c>
      <c r="AG482" t="s">
        <v>2820</v>
      </c>
      <c r="AH482">
        <v>2025</v>
      </c>
      <c r="AI482" t="s">
        <v>2838</v>
      </c>
    </row>
    <row r="483" spans="1:35">
      <c r="A483" t="s">
        <v>1543</v>
      </c>
      <c r="B483">
        <v>45813</v>
      </c>
      <c r="C483">
        <v>45821</v>
      </c>
      <c r="D483" t="s">
        <v>1544</v>
      </c>
      <c r="E483" t="s">
        <v>47</v>
      </c>
      <c r="F483" t="s">
        <v>24</v>
      </c>
      <c r="G483" t="s">
        <v>25</v>
      </c>
      <c r="H483" t="s">
        <v>136</v>
      </c>
      <c r="I483" t="s">
        <v>137</v>
      </c>
      <c r="J483" t="s">
        <v>74</v>
      </c>
      <c r="K483" t="s">
        <v>274</v>
      </c>
      <c r="L483" t="s">
        <v>1545</v>
      </c>
      <c r="M483" t="s">
        <v>44</v>
      </c>
      <c r="N483">
        <v>4</v>
      </c>
      <c r="O483">
        <v>2793.88</v>
      </c>
      <c r="P483" t="s">
        <v>767</v>
      </c>
      <c r="Q483">
        <v>10616.74</v>
      </c>
      <c r="R483">
        <v>6353.59</v>
      </c>
      <c r="S483">
        <v>4263.1499999999996</v>
      </c>
      <c r="T483" t="s">
        <v>32</v>
      </c>
      <c r="U483" t="s">
        <v>33</v>
      </c>
      <c r="V483" t="s">
        <v>2834</v>
      </c>
      <c r="W483" t="s">
        <v>2834</v>
      </c>
      <c r="X483" t="s">
        <v>2834</v>
      </c>
      <c r="Y483" t="s">
        <v>2834</v>
      </c>
      <c r="Z483">
        <v>8</v>
      </c>
      <c r="AA483" t="s">
        <v>2789</v>
      </c>
      <c r="AB483">
        <v>0.85</v>
      </c>
      <c r="AC483" t="s">
        <v>2797</v>
      </c>
      <c r="AD483">
        <v>1676.3280000000002</v>
      </c>
      <c r="AE483">
        <v>-4677.2619999999997</v>
      </c>
      <c r="AF483">
        <v>-2.7901830667983827</v>
      </c>
      <c r="AG483" t="s">
        <v>2825</v>
      </c>
      <c r="AH483">
        <v>2025</v>
      </c>
      <c r="AI483" t="s">
        <v>2836</v>
      </c>
    </row>
    <row r="484" spans="1:35">
      <c r="A484" t="s">
        <v>1546</v>
      </c>
      <c r="B484">
        <v>45495</v>
      </c>
      <c r="C484">
        <v>45495</v>
      </c>
      <c r="D484" t="s">
        <v>1547</v>
      </c>
      <c r="E484" t="s">
        <v>114</v>
      </c>
      <c r="F484" t="s">
        <v>24</v>
      </c>
      <c r="G484" t="s">
        <v>54</v>
      </c>
      <c r="H484" t="s">
        <v>175</v>
      </c>
      <c r="I484" t="s">
        <v>176</v>
      </c>
      <c r="J484" t="s">
        <v>74</v>
      </c>
      <c r="K484" t="s">
        <v>75</v>
      </c>
      <c r="L484" t="s">
        <v>1548</v>
      </c>
      <c r="M484" t="s">
        <v>31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32</v>
      </c>
      <c r="U484" t="s">
        <v>33</v>
      </c>
      <c r="V484" t="s">
        <v>2834</v>
      </c>
      <c r="W484" t="s">
        <v>2834</v>
      </c>
      <c r="X484" t="s">
        <v>2834</v>
      </c>
      <c r="Y484" t="s">
        <v>2834</v>
      </c>
      <c r="Z484">
        <v>0</v>
      </c>
      <c r="AA484" t="s">
        <v>2789</v>
      </c>
      <c r="AB484">
        <v>0.25</v>
      </c>
      <c r="AC484" t="s">
        <v>2794</v>
      </c>
      <c r="AD484">
        <v>2893.9949999999999</v>
      </c>
      <c r="AE484">
        <v>1037.9649999999999</v>
      </c>
      <c r="AF484">
        <v>0.35866164247001114</v>
      </c>
      <c r="AG484" t="s">
        <v>2826</v>
      </c>
      <c r="AH484">
        <v>2024</v>
      </c>
      <c r="AI484" t="s">
        <v>2835</v>
      </c>
    </row>
    <row r="485" spans="1:35">
      <c r="A485" t="s">
        <v>1549</v>
      </c>
      <c r="B485">
        <v>45651</v>
      </c>
      <c r="C485">
        <v>45651</v>
      </c>
      <c r="D485" t="s">
        <v>1550</v>
      </c>
      <c r="E485" t="s">
        <v>36</v>
      </c>
      <c r="F485" t="s">
        <v>90</v>
      </c>
      <c r="G485" t="s">
        <v>38</v>
      </c>
      <c r="H485" t="s">
        <v>145</v>
      </c>
      <c r="I485" t="s">
        <v>146</v>
      </c>
      <c r="J485" t="s">
        <v>74</v>
      </c>
      <c r="K485" t="s">
        <v>80</v>
      </c>
      <c r="L485" t="s">
        <v>1551</v>
      </c>
      <c r="M485" t="s">
        <v>59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32</v>
      </c>
      <c r="U485" t="s">
        <v>33</v>
      </c>
      <c r="V485" t="s">
        <v>2834</v>
      </c>
      <c r="W485" t="s">
        <v>2834</v>
      </c>
      <c r="X485" t="s">
        <v>2834</v>
      </c>
      <c r="Y485" t="s">
        <v>2834</v>
      </c>
      <c r="Z485">
        <v>0</v>
      </c>
      <c r="AA485" t="s">
        <v>2789</v>
      </c>
      <c r="AB485">
        <v>0.15</v>
      </c>
      <c r="AC485" t="s">
        <v>2794</v>
      </c>
      <c r="AD485">
        <v>705.2109999999999</v>
      </c>
      <c r="AE485">
        <v>266.89099999999991</v>
      </c>
      <c r="AF485">
        <v>0.37845552607659261</v>
      </c>
      <c r="AG485" t="s">
        <v>2831</v>
      </c>
      <c r="AH485">
        <v>2024</v>
      </c>
      <c r="AI485" t="s">
        <v>2835</v>
      </c>
    </row>
    <row r="486" spans="1:35">
      <c r="A486" t="s">
        <v>1552</v>
      </c>
      <c r="B486">
        <v>45654</v>
      </c>
      <c r="C486">
        <v>45657</v>
      </c>
      <c r="D486" t="s">
        <v>1553</v>
      </c>
      <c r="E486" t="s">
        <v>36</v>
      </c>
      <c r="F486" t="s">
        <v>37</v>
      </c>
      <c r="G486" t="s">
        <v>54</v>
      </c>
      <c r="H486" t="s">
        <v>84</v>
      </c>
      <c r="I486" t="s">
        <v>85</v>
      </c>
      <c r="J486" t="s">
        <v>41</v>
      </c>
      <c r="K486" t="s">
        <v>57</v>
      </c>
      <c r="L486" t="s">
        <v>1554</v>
      </c>
      <c r="M486" t="s">
        <v>50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32</v>
      </c>
      <c r="U486" t="s">
        <v>33</v>
      </c>
      <c r="V486" t="s">
        <v>2834</v>
      </c>
      <c r="W486" t="s">
        <v>2834</v>
      </c>
      <c r="X486" t="s">
        <v>2834</v>
      </c>
      <c r="Y486" t="s">
        <v>2834</v>
      </c>
      <c r="Z486">
        <v>3</v>
      </c>
      <c r="AA486" t="s">
        <v>2789</v>
      </c>
      <c r="AB486">
        <v>0.25</v>
      </c>
      <c r="AC486" t="s">
        <v>2794</v>
      </c>
      <c r="AD486">
        <v>16385.489999999998</v>
      </c>
      <c r="AE486">
        <v>2706.2499999999982</v>
      </c>
      <c r="AF486">
        <v>0.16516137143289572</v>
      </c>
      <c r="AG486" t="s">
        <v>2831</v>
      </c>
      <c r="AH486">
        <v>2024</v>
      </c>
      <c r="AI486" t="s">
        <v>2835</v>
      </c>
    </row>
    <row r="487" spans="1:35">
      <c r="A487" t="s">
        <v>1555</v>
      </c>
      <c r="B487">
        <v>45679</v>
      </c>
      <c r="C487">
        <v>45680</v>
      </c>
      <c r="D487" t="s">
        <v>1556</v>
      </c>
      <c r="E487" t="s">
        <v>118</v>
      </c>
      <c r="F487" t="s">
        <v>90</v>
      </c>
      <c r="G487" t="s">
        <v>63</v>
      </c>
      <c r="H487" t="s">
        <v>190</v>
      </c>
      <c r="I487" t="s">
        <v>191</v>
      </c>
      <c r="J487" t="s">
        <v>41</v>
      </c>
      <c r="K487" t="s">
        <v>158</v>
      </c>
      <c r="L487" t="s">
        <v>1557</v>
      </c>
      <c r="M487" t="s">
        <v>59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32</v>
      </c>
      <c r="U487" t="s">
        <v>33</v>
      </c>
      <c r="V487" t="s">
        <v>2834</v>
      </c>
      <c r="W487" t="s">
        <v>2834</v>
      </c>
      <c r="X487" t="s">
        <v>2834</v>
      </c>
      <c r="Y487" t="s">
        <v>2834</v>
      </c>
      <c r="Z487">
        <v>1</v>
      </c>
      <c r="AA487" t="s">
        <v>2789</v>
      </c>
      <c r="AB487">
        <v>0.25</v>
      </c>
      <c r="AC487" t="s">
        <v>2794</v>
      </c>
      <c r="AD487">
        <v>7665.57</v>
      </c>
      <c r="AE487">
        <v>2069.9699999999993</v>
      </c>
      <c r="AF487">
        <v>0.27003471366121495</v>
      </c>
      <c r="AG487" t="s">
        <v>2820</v>
      </c>
      <c r="AH487">
        <v>2025</v>
      </c>
      <c r="AI487" t="s">
        <v>2835</v>
      </c>
    </row>
    <row r="488" spans="1:35">
      <c r="A488" t="s">
        <v>1558</v>
      </c>
      <c r="B488">
        <v>45830</v>
      </c>
      <c r="C488">
        <v>45834</v>
      </c>
      <c r="D488" t="s">
        <v>1559</v>
      </c>
      <c r="E488" t="s">
        <v>118</v>
      </c>
      <c r="F488" t="s">
        <v>90</v>
      </c>
      <c r="G488" t="s">
        <v>63</v>
      </c>
      <c r="H488" t="s">
        <v>190</v>
      </c>
      <c r="I488" t="s">
        <v>191</v>
      </c>
      <c r="J488" t="s">
        <v>41</v>
      </c>
      <c r="K488" t="s">
        <v>42</v>
      </c>
      <c r="L488" t="s">
        <v>1560</v>
      </c>
      <c r="M488" t="s">
        <v>59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32</v>
      </c>
      <c r="U488" t="s">
        <v>33</v>
      </c>
      <c r="V488" t="s">
        <v>2834</v>
      </c>
      <c r="W488" t="s">
        <v>2834</v>
      </c>
      <c r="X488" t="s">
        <v>2834</v>
      </c>
      <c r="Y488" t="s">
        <v>2834</v>
      </c>
      <c r="Z488">
        <v>4</v>
      </c>
      <c r="AA488" t="s">
        <v>2789</v>
      </c>
      <c r="AB488">
        <v>0.2</v>
      </c>
      <c r="AC488" t="s">
        <v>2794</v>
      </c>
      <c r="AD488">
        <v>4670.8320000000003</v>
      </c>
      <c r="AE488">
        <v>1504.3420000000006</v>
      </c>
      <c r="AF488">
        <v>0.3220715281560117</v>
      </c>
      <c r="AG488" t="s">
        <v>2825</v>
      </c>
      <c r="AH488">
        <v>2025</v>
      </c>
      <c r="AI488" t="s">
        <v>2835</v>
      </c>
    </row>
    <row r="489" spans="1:35">
      <c r="A489" t="s">
        <v>1561</v>
      </c>
      <c r="B489">
        <v>45818</v>
      </c>
      <c r="C489">
        <v>45825</v>
      </c>
      <c r="D489" t="s">
        <v>1562</v>
      </c>
      <c r="E489" t="s">
        <v>118</v>
      </c>
      <c r="F489" t="s">
        <v>90</v>
      </c>
      <c r="G489" t="s">
        <v>54</v>
      </c>
      <c r="H489" t="s">
        <v>55</v>
      </c>
      <c r="I489" t="s">
        <v>56</v>
      </c>
      <c r="J489" t="s">
        <v>41</v>
      </c>
      <c r="K489" t="s">
        <v>57</v>
      </c>
      <c r="L489" t="s">
        <v>1563</v>
      </c>
      <c r="M489" t="s">
        <v>59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102</v>
      </c>
      <c r="U489" t="s">
        <v>103</v>
      </c>
      <c r="V489" t="s">
        <v>2834</v>
      </c>
      <c r="W489" t="s">
        <v>2834</v>
      </c>
      <c r="X489" t="s">
        <v>2834</v>
      </c>
      <c r="Y489" t="s">
        <v>2834</v>
      </c>
      <c r="Z489">
        <v>7</v>
      </c>
      <c r="AA489" t="s">
        <v>2789</v>
      </c>
      <c r="AB489">
        <v>0</v>
      </c>
      <c r="AC489" t="s">
        <v>2794</v>
      </c>
      <c r="AD489">
        <v>6155.5</v>
      </c>
      <c r="AE489">
        <v>1873.4099999999999</v>
      </c>
      <c r="AF489">
        <v>0.3043473316546178</v>
      </c>
      <c r="AG489" t="s">
        <v>2825</v>
      </c>
      <c r="AH489">
        <v>2025</v>
      </c>
      <c r="AI489" t="s">
        <v>2835</v>
      </c>
    </row>
    <row r="490" spans="1:35">
      <c r="A490" t="s">
        <v>1564</v>
      </c>
      <c r="B490">
        <v>45579</v>
      </c>
      <c r="C490">
        <v>45585</v>
      </c>
      <c r="D490" t="s">
        <v>1565</v>
      </c>
      <c r="E490" t="s">
        <v>89</v>
      </c>
      <c r="F490" t="s">
        <v>37</v>
      </c>
      <c r="G490" t="s">
        <v>25</v>
      </c>
      <c r="H490" t="s">
        <v>26</v>
      </c>
      <c r="I490" t="s">
        <v>27</v>
      </c>
      <c r="J490" t="s">
        <v>41</v>
      </c>
      <c r="K490" t="s">
        <v>42</v>
      </c>
      <c r="L490" t="s">
        <v>1566</v>
      </c>
      <c r="M490" t="s">
        <v>44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32</v>
      </c>
      <c r="U490" t="s">
        <v>33</v>
      </c>
      <c r="V490" t="s">
        <v>2834</v>
      </c>
      <c r="W490" t="s">
        <v>2834</v>
      </c>
      <c r="X490" t="s">
        <v>2834</v>
      </c>
      <c r="Y490" t="s">
        <v>2834</v>
      </c>
      <c r="Z490">
        <v>6</v>
      </c>
      <c r="AA490" t="s">
        <v>2789</v>
      </c>
      <c r="AB490">
        <v>0.2</v>
      </c>
      <c r="AC490" t="s">
        <v>2794</v>
      </c>
      <c r="AD490">
        <v>8666.56</v>
      </c>
      <c r="AE490">
        <v>2699.12</v>
      </c>
      <c r="AF490">
        <v>0.31144075619392242</v>
      </c>
      <c r="AG490" t="s">
        <v>2829</v>
      </c>
      <c r="AH490">
        <v>2024</v>
      </c>
      <c r="AI490" t="s">
        <v>2835</v>
      </c>
    </row>
    <row r="491" spans="1:35">
      <c r="A491" t="s">
        <v>1567</v>
      </c>
      <c r="B491">
        <v>45329</v>
      </c>
      <c r="C491">
        <v>45334</v>
      </c>
      <c r="D491" t="s">
        <v>1568</v>
      </c>
      <c r="E491" t="s">
        <v>53</v>
      </c>
      <c r="F491" t="s">
        <v>95</v>
      </c>
      <c r="G491" t="s">
        <v>38</v>
      </c>
      <c r="H491" t="s">
        <v>99</v>
      </c>
      <c r="I491" t="s">
        <v>100</v>
      </c>
      <c r="J491" t="s">
        <v>74</v>
      </c>
      <c r="K491" t="s">
        <v>75</v>
      </c>
      <c r="L491" t="s">
        <v>1569</v>
      </c>
      <c r="M491" t="s">
        <v>31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32</v>
      </c>
      <c r="U491" t="s">
        <v>33</v>
      </c>
      <c r="V491" t="s">
        <v>2834</v>
      </c>
      <c r="W491" t="s">
        <v>2834</v>
      </c>
      <c r="X491" t="s">
        <v>2834</v>
      </c>
      <c r="Y491" t="s">
        <v>2834</v>
      </c>
      <c r="Z491">
        <v>5</v>
      </c>
      <c r="AA491" t="s">
        <v>2789</v>
      </c>
      <c r="AB491">
        <v>0.2</v>
      </c>
      <c r="AC491" t="s">
        <v>2794</v>
      </c>
      <c r="AD491">
        <v>361.75200000000001</v>
      </c>
      <c r="AE491">
        <v>99.222000000000037</v>
      </c>
      <c r="AF491">
        <v>0.27428182843495003</v>
      </c>
      <c r="AG491" t="s">
        <v>2821</v>
      </c>
      <c r="AH491">
        <v>2024</v>
      </c>
      <c r="AI491" t="s">
        <v>2835</v>
      </c>
    </row>
    <row r="492" spans="1:35">
      <c r="A492" t="s">
        <v>1570</v>
      </c>
      <c r="B492">
        <v>45551</v>
      </c>
      <c r="C492">
        <v>45554</v>
      </c>
      <c r="D492" t="s">
        <v>1571</v>
      </c>
      <c r="E492" t="s">
        <v>89</v>
      </c>
      <c r="F492" t="s">
        <v>24</v>
      </c>
      <c r="G492" t="s">
        <v>63</v>
      </c>
      <c r="H492" t="s">
        <v>26</v>
      </c>
      <c r="I492" t="s">
        <v>109</v>
      </c>
      <c r="J492" t="s">
        <v>28</v>
      </c>
      <c r="K492" t="s">
        <v>153</v>
      </c>
      <c r="L492" t="s">
        <v>1572</v>
      </c>
      <c r="M492" t="s">
        <v>50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32</v>
      </c>
      <c r="U492" t="s">
        <v>33</v>
      </c>
      <c r="V492" t="s">
        <v>2834</v>
      </c>
      <c r="W492" t="s">
        <v>2834</v>
      </c>
      <c r="X492" t="s">
        <v>2834</v>
      </c>
      <c r="Y492" t="s">
        <v>2834</v>
      </c>
      <c r="Z492">
        <v>3</v>
      </c>
      <c r="AA492" t="s">
        <v>2789</v>
      </c>
      <c r="AB492">
        <v>0.15</v>
      </c>
      <c r="AC492" t="s">
        <v>2794</v>
      </c>
      <c r="AD492">
        <v>2418.1990000000001</v>
      </c>
      <c r="AE492">
        <v>804.37900000000013</v>
      </c>
      <c r="AF492">
        <v>0.33263556886757462</v>
      </c>
      <c r="AG492" t="s">
        <v>2828</v>
      </c>
      <c r="AH492">
        <v>2024</v>
      </c>
      <c r="AI492" t="s">
        <v>2835</v>
      </c>
    </row>
    <row r="493" spans="1:35">
      <c r="A493" t="s">
        <v>1573</v>
      </c>
      <c r="B493">
        <v>45776</v>
      </c>
      <c r="C493">
        <v>45777</v>
      </c>
      <c r="D493" t="s">
        <v>1574</v>
      </c>
      <c r="E493" t="s">
        <v>36</v>
      </c>
      <c r="F493" t="s">
        <v>90</v>
      </c>
      <c r="G493" t="s">
        <v>54</v>
      </c>
      <c r="H493" t="s">
        <v>185</v>
      </c>
      <c r="I493" t="s">
        <v>186</v>
      </c>
      <c r="J493" t="s">
        <v>74</v>
      </c>
      <c r="K493" t="s">
        <v>75</v>
      </c>
      <c r="L493" t="s">
        <v>1575</v>
      </c>
      <c r="M493" t="s">
        <v>59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32</v>
      </c>
      <c r="U493" t="s">
        <v>33</v>
      </c>
      <c r="V493" t="s">
        <v>2834</v>
      </c>
      <c r="W493" t="s">
        <v>2834</v>
      </c>
      <c r="X493" t="s">
        <v>2834</v>
      </c>
      <c r="Y493" t="s">
        <v>2834</v>
      </c>
      <c r="Z493">
        <v>1</v>
      </c>
      <c r="AA493" t="s">
        <v>2789</v>
      </c>
      <c r="AB493">
        <v>0.2</v>
      </c>
      <c r="AC493" t="s">
        <v>2794</v>
      </c>
      <c r="AD493">
        <v>1941.0560000000003</v>
      </c>
      <c r="AE493">
        <v>733.63600000000019</v>
      </c>
      <c r="AF493">
        <v>0.37795715321969076</v>
      </c>
      <c r="AG493" t="s">
        <v>2823</v>
      </c>
      <c r="AH493">
        <v>2025</v>
      </c>
      <c r="AI493" t="s">
        <v>2835</v>
      </c>
    </row>
    <row r="494" spans="1:35">
      <c r="A494" t="s">
        <v>1576</v>
      </c>
      <c r="B494">
        <v>45836</v>
      </c>
      <c r="C494">
        <v>45840</v>
      </c>
      <c r="D494" t="s">
        <v>1577</v>
      </c>
      <c r="E494" t="s">
        <v>62</v>
      </c>
      <c r="F494" t="s">
        <v>90</v>
      </c>
      <c r="G494" t="s">
        <v>54</v>
      </c>
      <c r="H494" t="s">
        <v>84</v>
      </c>
      <c r="I494" t="s">
        <v>85</v>
      </c>
      <c r="J494" t="s">
        <v>28</v>
      </c>
      <c r="K494" t="s">
        <v>124</v>
      </c>
      <c r="L494" t="s">
        <v>1578</v>
      </c>
      <c r="M494" t="s">
        <v>31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32</v>
      </c>
      <c r="U494" t="s">
        <v>33</v>
      </c>
      <c r="V494" t="s">
        <v>2834</v>
      </c>
      <c r="W494" t="s">
        <v>2834</v>
      </c>
      <c r="X494" t="s">
        <v>2834</v>
      </c>
      <c r="Y494" t="s">
        <v>2834</v>
      </c>
      <c r="Z494">
        <v>4</v>
      </c>
      <c r="AA494" t="s">
        <v>2789</v>
      </c>
      <c r="AB494">
        <v>0.25</v>
      </c>
      <c r="AC494" t="s">
        <v>2794</v>
      </c>
      <c r="AD494">
        <v>4088.16</v>
      </c>
      <c r="AE494">
        <v>882.48</v>
      </c>
      <c r="AF494">
        <v>0.21586239286133616</v>
      </c>
      <c r="AG494" t="s">
        <v>2825</v>
      </c>
      <c r="AH494">
        <v>2025</v>
      </c>
      <c r="AI494" t="s">
        <v>2835</v>
      </c>
    </row>
    <row r="495" spans="1:35">
      <c r="A495" t="s">
        <v>1579</v>
      </c>
      <c r="B495">
        <v>45701</v>
      </c>
      <c r="C495">
        <v>45701</v>
      </c>
      <c r="D495" t="s">
        <v>1580</v>
      </c>
      <c r="E495" t="s">
        <v>264</v>
      </c>
      <c r="F495" t="s">
        <v>90</v>
      </c>
      <c r="G495" t="s">
        <v>38</v>
      </c>
      <c r="H495" t="s">
        <v>39</v>
      </c>
      <c r="I495" t="s">
        <v>40</v>
      </c>
      <c r="J495" t="s">
        <v>28</v>
      </c>
      <c r="K495" t="s">
        <v>29</v>
      </c>
      <c r="L495" t="s">
        <v>1581</v>
      </c>
      <c r="M495" t="s">
        <v>31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32</v>
      </c>
      <c r="U495" t="s">
        <v>33</v>
      </c>
      <c r="V495" t="s">
        <v>2834</v>
      </c>
      <c r="W495" t="s">
        <v>2834</v>
      </c>
      <c r="X495" t="s">
        <v>2834</v>
      </c>
      <c r="Y495" t="s">
        <v>2834</v>
      </c>
      <c r="Z495">
        <v>0</v>
      </c>
      <c r="AA495" t="s">
        <v>2789</v>
      </c>
      <c r="AB495">
        <v>0.05</v>
      </c>
      <c r="AC495" t="s">
        <v>2794</v>
      </c>
      <c r="AD495">
        <v>15273.054999999997</v>
      </c>
      <c r="AE495">
        <v>4184.2949999999964</v>
      </c>
      <c r="AF495">
        <v>0.27396581757873573</v>
      </c>
      <c r="AG495" t="s">
        <v>2821</v>
      </c>
      <c r="AH495">
        <v>2025</v>
      </c>
      <c r="AI495" t="s">
        <v>2835</v>
      </c>
    </row>
    <row r="496" spans="1:35">
      <c r="A496" t="s">
        <v>1582</v>
      </c>
      <c r="B496">
        <v>45610</v>
      </c>
      <c r="C496">
        <v>45618</v>
      </c>
      <c r="D496" t="s">
        <v>1583</v>
      </c>
      <c r="E496" t="s">
        <v>47</v>
      </c>
      <c r="F496" t="s">
        <v>24</v>
      </c>
      <c r="G496" t="s">
        <v>63</v>
      </c>
      <c r="H496" t="s">
        <v>72</v>
      </c>
      <c r="I496" t="s">
        <v>73</v>
      </c>
      <c r="J496" t="s">
        <v>74</v>
      </c>
      <c r="K496" t="s">
        <v>171</v>
      </c>
      <c r="L496" t="s">
        <v>1584</v>
      </c>
      <c r="M496" t="s">
        <v>59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155</v>
      </c>
      <c r="U496" t="s">
        <v>68</v>
      </c>
      <c r="V496" t="s">
        <v>2834</v>
      </c>
      <c r="W496" t="s">
        <v>2834</v>
      </c>
      <c r="X496" t="s">
        <v>2834</v>
      </c>
      <c r="Y496" t="s">
        <v>2834</v>
      </c>
      <c r="Z496">
        <v>8</v>
      </c>
      <c r="AA496" t="s">
        <v>2789</v>
      </c>
      <c r="AB496">
        <v>-0.13</v>
      </c>
      <c r="AC496" t="s">
        <v>2795</v>
      </c>
      <c r="AD496">
        <v>2276.9951999999998</v>
      </c>
      <c r="AE496">
        <v>707.61519999999973</v>
      </c>
      <c r="AF496">
        <v>0.31076710218800629</v>
      </c>
      <c r="AG496" t="s">
        <v>2830</v>
      </c>
      <c r="AH496">
        <v>2024</v>
      </c>
      <c r="AI496" t="s">
        <v>2836</v>
      </c>
    </row>
    <row r="497" spans="1:35">
      <c r="A497" t="s">
        <v>1585</v>
      </c>
      <c r="B497">
        <v>45421</v>
      </c>
      <c r="C497">
        <v>45427</v>
      </c>
      <c r="D497" t="s">
        <v>1586</v>
      </c>
      <c r="E497" t="s">
        <v>36</v>
      </c>
      <c r="F497" t="s">
        <v>37</v>
      </c>
      <c r="G497" t="s">
        <v>38</v>
      </c>
      <c r="H497" t="s">
        <v>166</v>
      </c>
      <c r="I497" t="s">
        <v>167</v>
      </c>
      <c r="J497" t="s">
        <v>74</v>
      </c>
      <c r="K497" t="s">
        <v>171</v>
      </c>
      <c r="L497" t="s">
        <v>1587</v>
      </c>
      <c r="M497" t="s">
        <v>31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102</v>
      </c>
      <c r="U497" t="s">
        <v>103</v>
      </c>
      <c r="V497" t="s">
        <v>2834</v>
      </c>
      <c r="W497" t="s">
        <v>2834</v>
      </c>
      <c r="X497" t="s">
        <v>2834</v>
      </c>
      <c r="Y497" t="s">
        <v>2834</v>
      </c>
      <c r="Z497">
        <v>6</v>
      </c>
      <c r="AA497" t="s">
        <v>2789</v>
      </c>
      <c r="AB497">
        <v>0.05</v>
      </c>
      <c r="AC497" t="s">
        <v>2794</v>
      </c>
      <c r="AD497">
        <v>3784.7239999999997</v>
      </c>
      <c r="AE497">
        <v>1365.4839999999999</v>
      </c>
      <c r="AF497">
        <v>0.36078826355633858</v>
      </c>
      <c r="AG497" t="s">
        <v>2824</v>
      </c>
      <c r="AH497">
        <v>2024</v>
      </c>
      <c r="AI497" t="s">
        <v>2835</v>
      </c>
    </row>
    <row r="498" spans="1:35">
      <c r="A498" t="s">
        <v>1588</v>
      </c>
      <c r="B498">
        <v>45842</v>
      </c>
      <c r="C498">
        <v>45844</v>
      </c>
      <c r="D498" t="s">
        <v>1589</v>
      </c>
      <c r="E498" t="s">
        <v>264</v>
      </c>
      <c r="F498" t="s">
        <v>37</v>
      </c>
      <c r="G498" t="s">
        <v>38</v>
      </c>
      <c r="H498" t="s">
        <v>228</v>
      </c>
      <c r="I498" t="s">
        <v>229</v>
      </c>
      <c r="J498" t="s">
        <v>41</v>
      </c>
      <c r="K498" t="s">
        <v>66</v>
      </c>
      <c r="L498" t="s">
        <v>1590</v>
      </c>
      <c r="M498" t="s">
        <v>31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32</v>
      </c>
      <c r="U498" t="s">
        <v>33</v>
      </c>
      <c r="V498" t="s">
        <v>2834</v>
      </c>
      <c r="W498" t="s">
        <v>2834</v>
      </c>
      <c r="X498" t="s">
        <v>2834</v>
      </c>
      <c r="Y498" t="s">
        <v>2834</v>
      </c>
      <c r="Z498">
        <v>2</v>
      </c>
      <c r="AA498" t="s">
        <v>2789</v>
      </c>
      <c r="AB498">
        <v>0.1</v>
      </c>
      <c r="AC498" t="s">
        <v>2794</v>
      </c>
      <c r="AD498">
        <v>6635.5560000000005</v>
      </c>
      <c r="AE498">
        <v>2982.6460000000006</v>
      </c>
      <c r="AF498">
        <v>0.44949451108543131</v>
      </c>
      <c r="AG498" t="s">
        <v>2826</v>
      </c>
      <c r="AH498">
        <v>2025</v>
      </c>
      <c r="AI498" t="s">
        <v>2835</v>
      </c>
    </row>
    <row r="499" spans="1:35">
      <c r="A499" t="s">
        <v>1591</v>
      </c>
      <c r="B499">
        <v>45533</v>
      </c>
      <c r="C499">
        <v>45533</v>
      </c>
      <c r="D499" t="s">
        <v>1592</v>
      </c>
      <c r="E499" t="s">
        <v>132</v>
      </c>
      <c r="F499" t="s">
        <v>37</v>
      </c>
      <c r="G499" t="s">
        <v>25</v>
      </c>
      <c r="H499" t="s">
        <v>136</v>
      </c>
      <c r="I499" t="s">
        <v>137</v>
      </c>
      <c r="J499" t="s">
        <v>74</v>
      </c>
      <c r="K499" t="s">
        <v>75</v>
      </c>
      <c r="L499" t="s">
        <v>1593</v>
      </c>
      <c r="M499" t="s">
        <v>31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32</v>
      </c>
      <c r="U499" t="s">
        <v>68</v>
      </c>
      <c r="V499" t="s">
        <v>2834</v>
      </c>
      <c r="W499" t="s">
        <v>2834</v>
      </c>
      <c r="X499" t="s">
        <v>2834</v>
      </c>
      <c r="Y499" t="s">
        <v>2834</v>
      </c>
      <c r="Z499">
        <v>0</v>
      </c>
      <c r="AA499" t="s">
        <v>2789</v>
      </c>
      <c r="AB499">
        <v>0.2</v>
      </c>
      <c r="AC499" t="s">
        <v>2794</v>
      </c>
      <c r="AD499">
        <v>2485.5040000000004</v>
      </c>
      <c r="AE499">
        <v>457.0740000000003</v>
      </c>
      <c r="AF499">
        <v>0.18389590199814615</v>
      </c>
      <c r="AG499" t="s">
        <v>2827</v>
      </c>
      <c r="AH499">
        <v>2024</v>
      </c>
      <c r="AI499" t="s">
        <v>2835</v>
      </c>
    </row>
    <row r="500" spans="1:35">
      <c r="A500" t="s">
        <v>1594</v>
      </c>
      <c r="B500">
        <v>45907</v>
      </c>
      <c r="C500">
        <v>45910</v>
      </c>
      <c r="D500" t="s">
        <v>1595</v>
      </c>
      <c r="E500" t="s">
        <v>23</v>
      </c>
      <c r="F500" t="s">
        <v>24</v>
      </c>
      <c r="G500" t="s">
        <v>25</v>
      </c>
      <c r="H500" t="s">
        <v>122</v>
      </c>
      <c r="I500" t="s">
        <v>123</v>
      </c>
      <c r="J500" t="s">
        <v>41</v>
      </c>
      <c r="K500" t="s">
        <v>66</v>
      </c>
      <c r="L500" t="s">
        <v>1596</v>
      </c>
      <c r="M500" t="s">
        <v>44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102</v>
      </c>
      <c r="U500" t="s">
        <v>68</v>
      </c>
      <c r="V500" t="s">
        <v>2834</v>
      </c>
      <c r="W500" t="s">
        <v>2834</v>
      </c>
      <c r="X500" t="s">
        <v>2834</v>
      </c>
      <c r="Y500" t="s">
        <v>2834</v>
      </c>
      <c r="Z500">
        <v>3</v>
      </c>
      <c r="AA500" t="s">
        <v>2789</v>
      </c>
      <c r="AB500">
        <v>0.05</v>
      </c>
      <c r="AC500" t="s">
        <v>2794</v>
      </c>
      <c r="AD500">
        <v>850.34500000000003</v>
      </c>
      <c r="AE500">
        <v>249.36500000000001</v>
      </c>
      <c r="AF500">
        <v>0.29325156260106194</v>
      </c>
      <c r="AG500" t="s">
        <v>2828</v>
      </c>
      <c r="AH500">
        <v>2025</v>
      </c>
      <c r="AI500" t="s">
        <v>2835</v>
      </c>
    </row>
    <row r="501" spans="1:35">
      <c r="A501" t="s">
        <v>1597</v>
      </c>
      <c r="B501">
        <v>45648</v>
      </c>
      <c r="C501">
        <v>45652</v>
      </c>
      <c r="D501" t="s">
        <v>1598</v>
      </c>
      <c r="E501" t="s">
        <v>118</v>
      </c>
      <c r="F501" t="s">
        <v>95</v>
      </c>
      <c r="G501" t="s">
        <v>25</v>
      </c>
      <c r="H501" t="s">
        <v>136</v>
      </c>
      <c r="I501" t="s">
        <v>137</v>
      </c>
      <c r="J501" t="s">
        <v>41</v>
      </c>
      <c r="K501" t="s">
        <v>66</v>
      </c>
      <c r="L501" t="s">
        <v>1599</v>
      </c>
      <c r="M501" t="s">
        <v>59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32</v>
      </c>
      <c r="U501" t="s">
        <v>68</v>
      </c>
      <c r="V501" t="s">
        <v>2834</v>
      </c>
      <c r="W501" t="s">
        <v>2834</v>
      </c>
      <c r="X501" t="s">
        <v>2834</v>
      </c>
      <c r="Y501" t="s">
        <v>2834</v>
      </c>
      <c r="Z501">
        <v>4</v>
      </c>
      <c r="AA501" t="s">
        <v>2789</v>
      </c>
      <c r="AB501">
        <v>0</v>
      </c>
      <c r="AC501" t="s">
        <v>2796</v>
      </c>
      <c r="AD501">
        <v>9997.8299999999981</v>
      </c>
      <c r="AE501">
        <v>3938.7599999999984</v>
      </c>
      <c r="AF501">
        <v>0.3939614896432525</v>
      </c>
      <c r="AG501" t="s">
        <v>2831</v>
      </c>
      <c r="AH501">
        <v>2024</v>
      </c>
      <c r="AI501" t="s">
        <v>2838</v>
      </c>
    </row>
    <row r="502" spans="1:35">
      <c r="A502" t="s">
        <v>1600</v>
      </c>
      <c r="B502">
        <v>45429</v>
      </c>
      <c r="C502">
        <v>45434</v>
      </c>
      <c r="D502" t="s">
        <v>1601</v>
      </c>
      <c r="E502" t="s">
        <v>132</v>
      </c>
      <c r="F502" t="s">
        <v>24</v>
      </c>
      <c r="G502" t="s">
        <v>54</v>
      </c>
      <c r="H502" t="s">
        <v>185</v>
      </c>
      <c r="I502" t="s">
        <v>186</v>
      </c>
      <c r="J502" t="s">
        <v>74</v>
      </c>
      <c r="K502" t="s">
        <v>171</v>
      </c>
      <c r="L502" t="s">
        <v>1602</v>
      </c>
      <c r="M502" t="s">
        <v>44</v>
      </c>
      <c r="N502">
        <v>9</v>
      </c>
      <c r="O502">
        <v>3795.99</v>
      </c>
      <c r="P502" t="s">
        <v>767</v>
      </c>
      <c r="Q502">
        <v>34163.910000000003</v>
      </c>
      <c r="R502">
        <v>28577.15</v>
      </c>
      <c r="S502">
        <v>5586.76</v>
      </c>
      <c r="T502" t="s">
        <v>32</v>
      </c>
      <c r="U502" t="s">
        <v>33</v>
      </c>
      <c r="V502" t="s">
        <v>2834</v>
      </c>
      <c r="W502" t="s">
        <v>2834</v>
      </c>
      <c r="X502" t="s">
        <v>2834</v>
      </c>
      <c r="Y502" t="s">
        <v>2834</v>
      </c>
      <c r="Z502">
        <v>5</v>
      </c>
      <c r="AA502" t="s">
        <v>2789</v>
      </c>
      <c r="AB502">
        <v>0.85</v>
      </c>
      <c r="AC502" t="s">
        <v>2797</v>
      </c>
      <c r="AD502">
        <v>5124.5865000000003</v>
      </c>
      <c r="AE502">
        <v>-23452.5635</v>
      </c>
      <c r="AF502">
        <v>-4.5764791949555343</v>
      </c>
      <c r="AG502" t="s">
        <v>2824</v>
      </c>
      <c r="AH502">
        <v>2024</v>
      </c>
      <c r="AI502" t="s">
        <v>2836</v>
      </c>
    </row>
    <row r="503" spans="1:35">
      <c r="A503" t="s">
        <v>1603</v>
      </c>
      <c r="B503">
        <v>45515</v>
      </c>
      <c r="C503">
        <v>45521</v>
      </c>
      <c r="D503" t="s">
        <v>808</v>
      </c>
      <c r="E503" t="s">
        <v>79</v>
      </c>
      <c r="F503" t="s">
        <v>24</v>
      </c>
      <c r="G503" t="s">
        <v>38</v>
      </c>
      <c r="H503" t="s">
        <v>228</v>
      </c>
      <c r="I503" t="s">
        <v>229</v>
      </c>
      <c r="J503" t="s">
        <v>28</v>
      </c>
      <c r="K503" t="s">
        <v>48</v>
      </c>
      <c r="L503" t="s">
        <v>1604</v>
      </c>
      <c r="M503" t="s">
        <v>31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32</v>
      </c>
      <c r="U503" t="s">
        <v>33</v>
      </c>
      <c r="V503" t="s">
        <v>2834</v>
      </c>
      <c r="W503" t="s">
        <v>2834</v>
      </c>
      <c r="X503" t="s">
        <v>2834</v>
      </c>
      <c r="Y503" t="s">
        <v>2834</v>
      </c>
      <c r="Z503">
        <v>6</v>
      </c>
      <c r="AA503" t="s">
        <v>2789</v>
      </c>
      <c r="AB503">
        <v>0.15</v>
      </c>
      <c r="AC503" t="s">
        <v>2794</v>
      </c>
      <c r="AD503">
        <v>17837.453999999998</v>
      </c>
      <c r="AE503">
        <v>4210.4339999999975</v>
      </c>
      <c r="AF503">
        <v>0.23604456106796395</v>
      </c>
      <c r="AG503" t="s">
        <v>2827</v>
      </c>
      <c r="AH503">
        <v>2024</v>
      </c>
      <c r="AI503" t="s">
        <v>2835</v>
      </c>
    </row>
    <row r="504" spans="1:35">
      <c r="A504" t="s">
        <v>1605</v>
      </c>
      <c r="B504">
        <v>45383</v>
      </c>
      <c r="C504">
        <v>45391</v>
      </c>
      <c r="D504" t="s">
        <v>1606</v>
      </c>
      <c r="E504" t="s">
        <v>114</v>
      </c>
      <c r="F504" t="s">
        <v>37</v>
      </c>
      <c r="G504" t="s">
        <v>38</v>
      </c>
      <c r="H504" t="s">
        <v>39</v>
      </c>
      <c r="I504" t="s">
        <v>40</v>
      </c>
      <c r="J504" t="s">
        <v>74</v>
      </c>
      <c r="K504" t="s">
        <v>80</v>
      </c>
      <c r="L504" t="s">
        <v>1607</v>
      </c>
      <c r="M504" t="s">
        <v>31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32</v>
      </c>
      <c r="U504" t="s">
        <v>33</v>
      </c>
      <c r="V504" t="s">
        <v>2834</v>
      </c>
      <c r="W504" t="s">
        <v>2834</v>
      </c>
      <c r="X504" t="s">
        <v>2834</v>
      </c>
      <c r="Y504" t="s">
        <v>2834</v>
      </c>
      <c r="Z504">
        <v>8</v>
      </c>
      <c r="AA504" t="s">
        <v>2789</v>
      </c>
      <c r="AB504">
        <v>0.1</v>
      </c>
      <c r="AC504" t="s">
        <v>2794</v>
      </c>
      <c r="AD504">
        <v>4465.4220000000005</v>
      </c>
      <c r="AE504">
        <v>1088.3220000000006</v>
      </c>
      <c r="AF504">
        <v>0.24372209390288319</v>
      </c>
      <c r="AG504" t="s">
        <v>2823</v>
      </c>
      <c r="AH504">
        <v>2024</v>
      </c>
      <c r="AI504" t="s">
        <v>2835</v>
      </c>
    </row>
    <row r="505" spans="1:35">
      <c r="A505" t="s">
        <v>1608</v>
      </c>
      <c r="B505">
        <v>45563</v>
      </c>
      <c r="C505">
        <v>45570</v>
      </c>
      <c r="D505" t="s">
        <v>1609</v>
      </c>
      <c r="E505" t="s">
        <v>128</v>
      </c>
      <c r="F505" t="s">
        <v>24</v>
      </c>
      <c r="G505" t="s">
        <v>54</v>
      </c>
      <c r="H505" t="s">
        <v>247</v>
      </c>
      <c r="I505" t="s">
        <v>248</v>
      </c>
      <c r="J505" t="s">
        <v>74</v>
      </c>
      <c r="K505" t="s">
        <v>171</v>
      </c>
      <c r="L505" t="s">
        <v>1610</v>
      </c>
      <c r="M505" t="s">
        <v>59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32</v>
      </c>
      <c r="U505" t="s">
        <v>33</v>
      </c>
      <c r="V505" t="s">
        <v>2834</v>
      </c>
      <c r="W505" t="s">
        <v>2834</v>
      </c>
      <c r="X505" t="s">
        <v>2834</v>
      </c>
      <c r="Y505" t="s">
        <v>2834</v>
      </c>
      <c r="Z505">
        <v>7</v>
      </c>
      <c r="AA505" t="s">
        <v>2789</v>
      </c>
      <c r="AB505">
        <v>0.1</v>
      </c>
      <c r="AC505" t="s">
        <v>2794</v>
      </c>
      <c r="AD505">
        <v>10594.08</v>
      </c>
      <c r="AE505">
        <v>3433.7699999999995</v>
      </c>
      <c r="AF505">
        <v>0.32412158488514337</v>
      </c>
      <c r="AG505" t="s">
        <v>2828</v>
      </c>
      <c r="AH505">
        <v>2024</v>
      </c>
      <c r="AI505" t="s">
        <v>2835</v>
      </c>
    </row>
    <row r="506" spans="1:35">
      <c r="A506" t="s">
        <v>1611</v>
      </c>
      <c r="B506">
        <v>45700</v>
      </c>
      <c r="C506">
        <v>45705</v>
      </c>
      <c r="D506" t="s">
        <v>1612</v>
      </c>
      <c r="E506" t="s">
        <v>53</v>
      </c>
      <c r="F506" t="s">
        <v>90</v>
      </c>
      <c r="G506" t="s">
        <v>63</v>
      </c>
      <c r="H506" t="s">
        <v>180</v>
      </c>
      <c r="I506" t="s">
        <v>181</v>
      </c>
      <c r="J506" t="s">
        <v>28</v>
      </c>
      <c r="K506" t="s">
        <v>48</v>
      </c>
      <c r="L506" t="s">
        <v>1613</v>
      </c>
      <c r="M506" t="s">
        <v>59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32</v>
      </c>
      <c r="U506" t="s">
        <v>33</v>
      </c>
      <c r="V506" t="s">
        <v>2834</v>
      </c>
      <c r="W506" t="s">
        <v>2834</v>
      </c>
      <c r="X506" t="s">
        <v>2834</v>
      </c>
      <c r="Y506" t="s">
        <v>2834</v>
      </c>
      <c r="Z506">
        <v>5</v>
      </c>
      <c r="AA506" t="s">
        <v>2789</v>
      </c>
      <c r="AB506">
        <v>0</v>
      </c>
      <c r="AC506" t="s">
        <v>2794</v>
      </c>
      <c r="AD506">
        <v>17312.48</v>
      </c>
      <c r="AE506">
        <v>2888.26</v>
      </c>
      <c r="AF506">
        <v>0.16683109525613893</v>
      </c>
      <c r="AG506" t="s">
        <v>2821</v>
      </c>
      <c r="AH506">
        <v>2025</v>
      </c>
      <c r="AI506" t="s">
        <v>2835</v>
      </c>
    </row>
    <row r="507" spans="1:35">
      <c r="A507" t="s">
        <v>1614</v>
      </c>
      <c r="B507">
        <v>45605</v>
      </c>
      <c r="C507">
        <v>45610</v>
      </c>
      <c r="D507" t="s">
        <v>1615</v>
      </c>
      <c r="E507" t="s">
        <v>79</v>
      </c>
      <c r="F507" t="s">
        <v>90</v>
      </c>
      <c r="G507" t="s">
        <v>63</v>
      </c>
      <c r="H507" t="s">
        <v>72</v>
      </c>
      <c r="I507" t="s">
        <v>73</v>
      </c>
      <c r="J507" t="s">
        <v>28</v>
      </c>
      <c r="K507" t="s">
        <v>48</v>
      </c>
      <c r="L507" t="s">
        <v>1616</v>
      </c>
      <c r="M507" t="s">
        <v>50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32</v>
      </c>
      <c r="U507" t="s">
        <v>68</v>
      </c>
      <c r="V507" t="s">
        <v>2834</v>
      </c>
      <c r="W507" t="s">
        <v>2834</v>
      </c>
      <c r="X507" t="s">
        <v>2834</v>
      </c>
      <c r="Y507" t="s">
        <v>2834</v>
      </c>
      <c r="Z507">
        <v>5</v>
      </c>
      <c r="AA507" t="s">
        <v>2789</v>
      </c>
      <c r="AB507">
        <v>0.2</v>
      </c>
      <c r="AC507" t="s">
        <v>2794</v>
      </c>
      <c r="AD507">
        <v>17555.688000000002</v>
      </c>
      <c r="AE507">
        <v>4262.4880000000012</v>
      </c>
      <c r="AF507">
        <v>0.24279811762432785</v>
      </c>
      <c r="AG507" t="s">
        <v>2830</v>
      </c>
      <c r="AH507">
        <v>2024</v>
      </c>
      <c r="AI507" t="s">
        <v>2835</v>
      </c>
    </row>
    <row r="508" spans="1:35">
      <c r="A508" t="s">
        <v>1617</v>
      </c>
      <c r="B508">
        <v>45641</v>
      </c>
      <c r="C508">
        <v>45641</v>
      </c>
      <c r="D508" t="s">
        <v>1618</v>
      </c>
      <c r="E508" t="s">
        <v>128</v>
      </c>
      <c r="F508" t="s">
        <v>37</v>
      </c>
      <c r="G508" t="s">
        <v>25</v>
      </c>
      <c r="H508" t="s">
        <v>122</v>
      </c>
      <c r="I508" t="s">
        <v>123</v>
      </c>
      <c r="J508" t="s">
        <v>41</v>
      </c>
      <c r="K508" t="s">
        <v>57</v>
      </c>
      <c r="L508" t="s">
        <v>1619</v>
      </c>
      <c r="M508" t="s">
        <v>50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102</v>
      </c>
      <c r="U508" t="s">
        <v>103</v>
      </c>
      <c r="V508" t="s">
        <v>2834</v>
      </c>
      <c r="W508" t="s">
        <v>2834</v>
      </c>
      <c r="X508" t="s">
        <v>2834</v>
      </c>
      <c r="Y508" t="s">
        <v>2834</v>
      </c>
      <c r="Z508">
        <v>0</v>
      </c>
      <c r="AA508" t="s">
        <v>2789</v>
      </c>
      <c r="AB508">
        <v>0.1</v>
      </c>
      <c r="AC508" t="s">
        <v>2794</v>
      </c>
      <c r="AD508">
        <v>1205.6399999999999</v>
      </c>
      <c r="AE508">
        <v>363.56999999999982</v>
      </c>
      <c r="AF508">
        <v>0.30155767890912699</v>
      </c>
      <c r="AG508" t="s">
        <v>2831</v>
      </c>
      <c r="AH508">
        <v>2024</v>
      </c>
      <c r="AI508" t="s">
        <v>2835</v>
      </c>
    </row>
    <row r="509" spans="1:35">
      <c r="A509" t="s">
        <v>1620</v>
      </c>
      <c r="B509">
        <v>45762</v>
      </c>
      <c r="C509">
        <v>45769</v>
      </c>
      <c r="D509" t="s">
        <v>1621</v>
      </c>
      <c r="E509" t="s">
        <v>47</v>
      </c>
      <c r="F509" t="s">
        <v>37</v>
      </c>
      <c r="G509" t="s">
        <v>25</v>
      </c>
      <c r="H509" t="s">
        <v>236</v>
      </c>
      <c r="I509" t="s">
        <v>237</v>
      </c>
      <c r="J509" t="s">
        <v>28</v>
      </c>
      <c r="K509" t="s">
        <v>153</v>
      </c>
      <c r="L509" t="s">
        <v>1622</v>
      </c>
      <c r="M509" t="s">
        <v>44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32</v>
      </c>
      <c r="U509" t="s">
        <v>33</v>
      </c>
      <c r="V509" t="s">
        <v>2834</v>
      </c>
      <c r="W509" t="s">
        <v>2834</v>
      </c>
      <c r="X509" t="s">
        <v>2834</v>
      </c>
      <c r="Y509" t="s">
        <v>2834</v>
      </c>
      <c r="Z509">
        <v>7</v>
      </c>
      <c r="AA509" t="s">
        <v>2789</v>
      </c>
      <c r="AB509">
        <v>0.25</v>
      </c>
      <c r="AC509" t="s">
        <v>2794</v>
      </c>
      <c r="AD509">
        <v>8971.26</v>
      </c>
      <c r="AE509">
        <v>2156.91</v>
      </c>
      <c r="AF509">
        <v>0.24042442198754688</v>
      </c>
      <c r="AG509" t="s">
        <v>2823</v>
      </c>
      <c r="AH509">
        <v>2025</v>
      </c>
      <c r="AI509" t="s">
        <v>2835</v>
      </c>
    </row>
    <row r="510" spans="1:35">
      <c r="A510" t="s">
        <v>1623</v>
      </c>
      <c r="B510">
        <v>45382</v>
      </c>
      <c r="C510">
        <v>45389</v>
      </c>
      <c r="D510" t="s">
        <v>1624</v>
      </c>
      <c r="E510" t="s">
        <v>47</v>
      </c>
      <c r="F510" t="s">
        <v>37</v>
      </c>
      <c r="G510" t="s">
        <v>25</v>
      </c>
      <c r="H510" t="s">
        <v>236</v>
      </c>
      <c r="I510" t="s">
        <v>237</v>
      </c>
      <c r="J510" t="s">
        <v>74</v>
      </c>
      <c r="K510" t="s">
        <v>274</v>
      </c>
      <c r="L510" t="s">
        <v>1625</v>
      </c>
      <c r="M510" t="s">
        <v>31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32</v>
      </c>
      <c r="U510" t="s">
        <v>33</v>
      </c>
      <c r="V510" t="s">
        <v>2834</v>
      </c>
      <c r="W510" t="s">
        <v>2834</v>
      </c>
      <c r="X510" t="s">
        <v>2834</v>
      </c>
      <c r="Y510" t="s">
        <v>2834</v>
      </c>
      <c r="Z510">
        <v>7</v>
      </c>
      <c r="AA510" t="s">
        <v>2789</v>
      </c>
      <c r="AB510">
        <v>0</v>
      </c>
      <c r="AC510" t="s">
        <v>2794</v>
      </c>
      <c r="AD510">
        <v>7324</v>
      </c>
      <c r="AE510">
        <v>3144.37</v>
      </c>
      <c r="AF510">
        <v>0.42932413981430911</v>
      </c>
      <c r="AG510" t="s">
        <v>2822</v>
      </c>
      <c r="AH510">
        <v>2024</v>
      </c>
      <c r="AI510" t="s">
        <v>2835</v>
      </c>
    </row>
    <row r="511" spans="1:35">
      <c r="A511" t="s">
        <v>1626</v>
      </c>
      <c r="B511">
        <v>45789</v>
      </c>
      <c r="C511">
        <v>45791</v>
      </c>
      <c r="D511" t="s">
        <v>1627</v>
      </c>
      <c r="E511" t="s">
        <v>79</v>
      </c>
      <c r="F511" t="s">
        <v>24</v>
      </c>
      <c r="G511" t="s">
        <v>63</v>
      </c>
      <c r="H511" t="s">
        <v>180</v>
      </c>
      <c r="I511" t="s">
        <v>181</v>
      </c>
      <c r="J511" t="s">
        <v>74</v>
      </c>
      <c r="K511" t="s">
        <v>274</v>
      </c>
      <c r="L511" t="s">
        <v>1628</v>
      </c>
      <c r="M511" t="s">
        <v>44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32</v>
      </c>
      <c r="U511" t="s">
        <v>33</v>
      </c>
      <c r="V511" t="s">
        <v>2834</v>
      </c>
      <c r="W511" t="s">
        <v>2834</v>
      </c>
      <c r="X511" t="s">
        <v>2834</v>
      </c>
      <c r="Y511" t="s">
        <v>2834</v>
      </c>
      <c r="Z511">
        <v>2</v>
      </c>
      <c r="AA511" t="s">
        <v>2789</v>
      </c>
      <c r="AB511">
        <v>0.2</v>
      </c>
      <c r="AC511" t="s">
        <v>2794</v>
      </c>
      <c r="AD511">
        <v>23241.216</v>
      </c>
      <c r="AE511">
        <v>6020.3159999999989</v>
      </c>
      <c r="AF511">
        <v>0.25903618812371948</v>
      </c>
      <c r="AG511" t="s">
        <v>2824</v>
      </c>
      <c r="AH511">
        <v>2025</v>
      </c>
      <c r="AI511" t="s">
        <v>2835</v>
      </c>
    </row>
    <row r="512" spans="1:35">
      <c r="A512" t="s">
        <v>1629</v>
      </c>
      <c r="B512">
        <v>45583</v>
      </c>
      <c r="C512">
        <v>45586</v>
      </c>
      <c r="D512" t="s">
        <v>1630</v>
      </c>
      <c r="E512" t="s">
        <v>128</v>
      </c>
      <c r="F512" t="s">
        <v>24</v>
      </c>
      <c r="G512" t="s">
        <v>54</v>
      </c>
      <c r="H512" t="s">
        <v>175</v>
      </c>
      <c r="I512" t="s">
        <v>176</v>
      </c>
      <c r="J512" t="s">
        <v>28</v>
      </c>
      <c r="K512" t="s">
        <v>124</v>
      </c>
      <c r="L512" t="s">
        <v>1631</v>
      </c>
      <c r="M512" t="s">
        <v>31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32</v>
      </c>
      <c r="U512" t="s">
        <v>33</v>
      </c>
      <c r="V512" t="s">
        <v>2834</v>
      </c>
      <c r="W512" t="s">
        <v>2834</v>
      </c>
      <c r="X512" t="s">
        <v>2834</v>
      </c>
      <c r="Y512" t="s">
        <v>2834</v>
      </c>
      <c r="Z512">
        <v>3</v>
      </c>
      <c r="AA512" t="s">
        <v>2789</v>
      </c>
      <c r="AB512">
        <v>0</v>
      </c>
      <c r="AC512" t="s">
        <v>2794</v>
      </c>
      <c r="AD512">
        <v>8477.02</v>
      </c>
      <c r="AE512">
        <v>1592.0600000000004</v>
      </c>
      <c r="AF512">
        <v>0.18780892341884298</v>
      </c>
      <c r="AG512" t="s">
        <v>2829</v>
      </c>
      <c r="AH512">
        <v>2024</v>
      </c>
      <c r="AI512" t="s">
        <v>2835</v>
      </c>
    </row>
    <row r="513" spans="1:35">
      <c r="A513" t="s">
        <v>1632</v>
      </c>
      <c r="B513">
        <v>45588</v>
      </c>
      <c r="C513">
        <v>45591</v>
      </c>
      <c r="D513" t="s">
        <v>1633</v>
      </c>
      <c r="E513" t="s">
        <v>132</v>
      </c>
      <c r="F513" t="s">
        <v>24</v>
      </c>
      <c r="G513" t="s">
        <v>63</v>
      </c>
      <c r="H513" t="s">
        <v>72</v>
      </c>
      <c r="I513" t="s">
        <v>73</v>
      </c>
      <c r="J513" t="s">
        <v>41</v>
      </c>
      <c r="K513" t="s">
        <v>158</v>
      </c>
      <c r="L513" t="s">
        <v>1634</v>
      </c>
      <c r="M513" t="s">
        <v>59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32</v>
      </c>
      <c r="U513" t="s">
        <v>33</v>
      </c>
      <c r="V513" t="s">
        <v>2834</v>
      </c>
      <c r="W513" t="s">
        <v>2834</v>
      </c>
      <c r="X513" t="s">
        <v>2834</v>
      </c>
      <c r="Y513" t="s">
        <v>2834</v>
      </c>
      <c r="Z513">
        <v>3</v>
      </c>
      <c r="AA513" t="s">
        <v>2789</v>
      </c>
      <c r="AB513">
        <v>0.25</v>
      </c>
      <c r="AC513" t="s">
        <v>2794</v>
      </c>
      <c r="AD513">
        <v>3673.8225000000002</v>
      </c>
      <c r="AE513">
        <v>1585.6725000000001</v>
      </c>
      <c r="AF513">
        <v>0.43161380278987349</v>
      </c>
      <c r="AG513" t="s">
        <v>2829</v>
      </c>
      <c r="AH513">
        <v>2024</v>
      </c>
      <c r="AI513" t="s">
        <v>2835</v>
      </c>
    </row>
    <row r="514" spans="1:35">
      <c r="A514" t="s">
        <v>1635</v>
      </c>
      <c r="B514">
        <v>45718</v>
      </c>
      <c r="C514">
        <v>45719</v>
      </c>
      <c r="D514" t="s">
        <v>1247</v>
      </c>
      <c r="E514" t="s">
        <v>47</v>
      </c>
      <c r="F514" t="s">
        <v>90</v>
      </c>
      <c r="G514" t="s">
        <v>54</v>
      </c>
      <c r="H514" t="s">
        <v>185</v>
      </c>
      <c r="I514" t="s">
        <v>186</v>
      </c>
      <c r="J514" t="s">
        <v>28</v>
      </c>
      <c r="K514" t="s">
        <v>91</v>
      </c>
      <c r="L514" t="s">
        <v>1636</v>
      </c>
      <c r="M514" t="s">
        <v>31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32</v>
      </c>
      <c r="U514" t="s">
        <v>33</v>
      </c>
      <c r="V514" t="s">
        <v>2834</v>
      </c>
      <c r="W514" t="s">
        <v>2834</v>
      </c>
      <c r="X514" t="s">
        <v>2834</v>
      </c>
      <c r="Y514" t="s">
        <v>2834</v>
      </c>
      <c r="Z514">
        <v>1</v>
      </c>
      <c r="AA514" t="s">
        <v>2789</v>
      </c>
      <c r="AB514">
        <v>0.25</v>
      </c>
      <c r="AC514" t="s">
        <v>2794</v>
      </c>
      <c r="AD514">
        <v>6047.1749999999993</v>
      </c>
      <c r="AE514">
        <v>2678.3849999999993</v>
      </c>
      <c r="AF514">
        <v>0.44291508018206843</v>
      </c>
      <c r="AG514" t="s">
        <v>2822</v>
      </c>
      <c r="AH514">
        <v>2025</v>
      </c>
      <c r="AI514" t="s">
        <v>2835</v>
      </c>
    </row>
    <row r="515" spans="1:35">
      <c r="A515" t="s">
        <v>1637</v>
      </c>
      <c r="B515">
        <v>45835</v>
      </c>
      <c r="C515">
        <v>45840</v>
      </c>
      <c r="D515" t="s">
        <v>1638</v>
      </c>
      <c r="E515" t="s">
        <v>128</v>
      </c>
      <c r="F515" t="s">
        <v>90</v>
      </c>
      <c r="G515" t="s">
        <v>54</v>
      </c>
      <c r="H515" t="s">
        <v>185</v>
      </c>
      <c r="I515" t="s">
        <v>186</v>
      </c>
      <c r="J515" t="s">
        <v>74</v>
      </c>
      <c r="K515" t="s">
        <v>75</v>
      </c>
      <c r="L515" t="s">
        <v>1639</v>
      </c>
      <c r="M515" t="s">
        <v>50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32</v>
      </c>
      <c r="U515" t="s">
        <v>33</v>
      </c>
      <c r="V515" t="s">
        <v>2834</v>
      </c>
      <c r="W515" t="s">
        <v>2834</v>
      </c>
      <c r="X515" t="s">
        <v>2834</v>
      </c>
      <c r="Y515" t="s">
        <v>2834</v>
      </c>
      <c r="Z515">
        <v>5</v>
      </c>
      <c r="AA515" t="s">
        <v>2789</v>
      </c>
      <c r="AB515">
        <v>0.1</v>
      </c>
      <c r="AC515" t="s">
        <v>2794</v>
      </c>
      <c r="AD515">
        <v>5937.246000000001</v>
      </c>
      <c r="AE515">
        <v>1848.786000000001</v>
      </c>
      <c r="AF515">
        <v>0.31138780505304997</v>
      </c>
      <c r="AG515" t="s">
        <v>2825</v>
      </c>
      <c r="AH515">
        <v>2025</v>
      </c>
      <c r="AI515" t="s">
        <v>2835</v>
      </c>
    </row>
    <row r="516" spans="1:35">
      <c r="A516" t="s">
        <v>1640</v>
      </c>
      <c r="B516">
        <v>45614</v>
      </c>
      <c r="C516">
        <v>45618</v>
      </c>
      <c r="D516" t="s">
        <v>1641</v>
      </c>
      <c r="E516" t="s">
        <v>23</v>
      </c>
      <c r="F516" t="s">
        <v>95</v>
      </c>
      <c r="G516" t="s">
        <v>54</v>
      </c>
      <c r="H516" t="s">
        <v>185</v>
      </c>
      <c r="I516" t="s">
        <v>186</v>
      </c>
      <c r="J516" t="s">
        <v>74</v>
      </c>
      <c r="K516" t="s">
        <v>75</v>
      </c>
      <c r="L516" t="s">
        <v>1642</v>
      </c>
      <c r="M516" t="s">
        <v>59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32</v>
      </c>
      <c r="U516" t="s">
        <v>33</v>
      </c>
      <c r="V516" t="s">
        <v>2834</v>
      </c>
      <c r="W516" t="s">
        <v>2834</v>
      </c>
      <c r="X516" t="s">
        <v>2834</v>
      </c>
      <c r="Y516" t="s">
        <v>2834</v>
      </c>
      <c r="Z516">
        <v>4</v>
      </c>
      <c r="AA516" t="s">
        <v>2789</v>
      </c>
      <c r="AB516">
        <v>0.1</v>
      </c>
      <c r="AC516" t="s">
        <v>2794</v>
      </c>
      <c r="AD516">
        <v>20913.876</v>
      </c>
      <c r="AE516">
        <v>9229.1959999999999</v>
      </c>
      <c r="AF516">
        <v>0.44129533903710627</v>
      </c>
      <c r="AG516" t="s">
        <v>2830</v>
      </c>
      <c r="AH516">
        <v>2024</v>
      </c>
      <c r="AI516" t="s">
        <v>2835</v>
      </c>
    </row>
    <row r="517" spans="1:35">
      <c r="A517" t="s">
        <v>1643</v>
      </c>
      <c r="B517">
        <v>45758</v>
      </c>
      <c r="C517">
        <v>45758</v>
      </c>
      <c r="D517" t="s">
        <v>1644</v>
      </c>
      <c r="E517" t="s">
        <v>118</v>
      </c>
      <c r="F517" t="s">
        <v>90</v>
      </c>
      <c r="G517" t="s">
        <v>25</v>
      </c>
      <c r="H517" t="s">
        <v>350</v>
      </c>
      <c r="I517" t="s">
        <v>351</v>
      </c>
      <c r="J517" t="s">
        <v>28</v>
      </c>
      <c r="K517" t="s">
        <v>29</v>
      </c>
      <c r="L517" t="s">
        <v>1645</v>
      </c>
      <c r="M517" t="s">
        <v>59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32</v>
      </c>
      <c r="U517" t="s">
        <v>33</v>
      </c>
      <c r="V517" t="s">
        <v>2834</v>
      </c>
      <c r="W517" t="s">
        <v>2834</v>
      </c>
      <c r="X517" t="s">
        <v>2834</v>
      </c>
      <c r="Y517" t="s">
        <v>2834</v>
      </c>
      <c r="Z517">
        <v>0</v>
      </c>
      <c r="AA517" t="s">
        <v>2789</v>
      </c>
      <c r="AB517">
        <v>-7.0000000000000007E-2</v>
      </c>
      <c r="AC517" t="s">
        <v>2795</v>
      </c>
      <c r="AD517">
        <v>4770.5843000000004</v>
      </c>
      <c r="AE517">
        <v>2687.1743000000006</v>
      </c>
      <c r="AF517">
        <v>0.56327991101635089</v>
      </c>
      <c r="AG517" t="s">
        <v>2823</v>
      </c>
      <c r="AH517">
        <v>2025</v>
      </c>
      <c r="AI517" t="s">
        <v>2836</v>
      </c>
    </row>
    <row r="518" spans="1:35">
      <c r="A518" t="s">
        <v>1646</v>
      </c>
      <c r="B518">
        <v>45563</v>
      </c>
      <c r="C518">
        <v>45569</v>
      </c>
      <c r="D518" t="s">
        <v>1647</v>
      </c>
      <c r="E518" t="s">
        <v>264</v>
      </c>
      <c r="F518" t="s">
        <v>95</v>
      </c>
      <c r="G518" t="s">
        <v>25</v>
      </c>
      <c r="H518" t="s">
        <v>350</v>
      </c>
      <c r="I518" t="s">
        <v>351</v>
      </c>
      <c r="J518" t="s">
        <v>74</v>
      </c>
      <c r="K518" t="s">
        <v>80</v>
      </c>
      <c r="L518" t="s">
        <v>1648</v>
      </c>
      <c r="M518" t="s">
        <v>59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155</v>
      </c>
      <c r="U518" t="s">
        <v>103</v>
      </c>
      <c r="V518" t="s">
        <v>2834</v>
      </c>
      <c r="W518" t="s">
        <v>2834</v>
      </c>
      <c r="X518" t="s">
        <v>2834</v>
      </c>
      <c r="Y518" t="s">
        <v>2834</v>
      </c>
      <c r="Z518">
        <v>6</v>
      </c>
      <c r="AA518" t="s">
        <v>2789</v>
      </c>
      <c r="AB518">
        <v>0</v>
      </c>
      <c r="AC518" t="s">
        <v>2794</v>
      </c>
      <c r="AD518">
        <v>2233.1799999999998</v>
      </c>
      <c r="AE518">
        <v>647.3599999999999</v>
      </c>
      <c r="AF518">
        <v>0.28988258895386843</v>
      </c>
      <c r="AG518" t="s">
        <v>2828</v>
      </c>
      <c r="AH518">
        <v>2024</v>
      </c>
      <c r="AI518" t="s">
        <v>2835</v>
      </c>
    </row>
    <row r="519" spans="1:35">
      <c r="A519" t="s">
        <v>1649</v>
      </c>
      <c r="B519">
        <v>45802</v>
      </c>
      <c r="C519">
        <v>45804</v>
      </c>
      <c r="D519" t="s">
        <v>1650</v>
      </c>
      <c r="E519" t="s">
        <v>118</v>
      </c>
      <c r="F519" t="s">
        <v>24</v>
      </c>
      <c r="G519" t="s">
        <v>38</v>
      </c>
      <c r="H519" t="s">
        <v>39</v>
      </c>
      <c r="I519" t="s">
        <v>40</v>
      </c>
      <c r="J519" t="s">
        <v>41</v>
      </c>
      <c r="K519" t="s">
        <v>57</v>
      </c>
      <c r="L519" t="s">
        <v>1651</v>
      </c>
      <c r="M519" t="s">
        <v>31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102</v>
      </c>
      <c r="U519" t="s">
        <v>103</v>
      </c>
      <c r="V519" t="s">
        <v>2834</v>
      </c>
      <c r="W519" t="s">
        <v>2834</v>
      </c>
      <c r="X519" t="s">
        <v>2834</v>
      </c>
      <c r="Y519" t="s">
        <v>2834</v>
      </c>
      <c r="Z519">
        <v>2</v>
      </c>
      <c r="AA519" t="s">
        <v>2789</v>
      </c>
      <c r="AB519">
        <v>0.2</v>
      </c>
      <c r="AC519" t="s">
        <v>2794</v>
      </c>
      <c r="AD519">
        <v>11890.368000000002</v>
      </c>
      <c r="AE519">
        <v>2655.8380000000016</v>
      </c>
      <c r="AF519">
        <v>0.22336045444514427</v>
      </c>
      <c r="AG519" t="s">
        <v>2824</v>
      </c>
      <c r="AH519">
        <v>2025</v>
      </c>
      <c r="AI519" t="s">
        <v>2835</v>
      </c>
    </row>
    <row r="520" spans="1:35">
      <c r="A520" t="s">
        <v>1652</v>
      </c>
      <c r="B520">
        <v>45777</v>
      </c>
      <c r="C520">
        <v>45773</v>
      </c>
      <c r="D520" t="s">
        <v>1653</v>
      </c>
      <c r="E520" t="s">
        <v>162</v>
      </c>
      <c r="F520" t="s">
        <v>90</v>
      </c>
      <c r="G520" t="s">
        <v>38</v>
      </c>
      <c r="H520" t="s">
        <v>39</v>
      </c>
      <c r="I520" t="s">
        <v>40</v>
      </c>
      <c r="J520" t="s">
        <v>41</v>
      </c>
      <c r="K520" t="s">
        <v>42</v>
      </c>
      <c r="L520" t="s">
        <v>1654</v>
      </c>
      <c r="M520" t="s">
        <v>50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32</v>
      </c>
      <c r="U520" t="s">
        <v>68</v>
      </c>
      <c r="V520" t="s">
        <v>2834</v>
      </c>
      <c r="W520" t="s">
        <v>2834</v>
      </c>
      <c r="X520" t="s">
        <v>2834</v>
      </c>
      <c r="Y520" t="s">
        <v>2837</v>
      </c>
      <c r="Z520">
        <v>-4</v>
      </c>
      <c r="AA520" t="s">
        <v>2789</v>
      </c>
      <c r="AB520">
        <v>0.25</v>
      </c>
      <c r="AC520" t="s">
        <v>2794</v>
      </c>
      <c r="AD520">
        <v>8421.682499999999</v>
      </c>
      <c r="AE520">
        <v>1887.2124999999987</v>
      </c>
      <c r="AF520">
        <v>0.22408972316398759</v>
      </c>
      <c r="AG520" t="s">
        <v>2823</v>
      </c>
      <c r="AH520">
        <v>2025</v>
      </c>
      <c r="AI520" t="s">
        <v>2836</v>
      </c>
    </row>
    <row r="521" spans="1:35">
      <c r="A521" t="s">
        <v>1655</v>
      </c>
      <c r="B521">
        <v>45841</v>
      </c>
      <c r="C521">
        <v>45845</v>
      </c>
      <c r="D521" t="s">
        <v>1656</v>
      </c>
      <c r="E521" t="s">
        <v>114</v>
      </c>
      <c r="F521" t="s">
        <v>24</v>
      </c>
      <c r="G521" t="s">
        <v>25</v>
      </c>
      <c r="H521" t="s">
        <v>136</v>
      </c>
      <c r="I521" t="s">
        <v>137</v>
      </c>
      <c r="J521" t="s">
        <v>41</v>
      </c>
      <c r="K521" t="s">
        <v>42</v>
      </c>
      <c r="L521" t="s">
        <v>1657</v>
      </c>
      <c r="M521" t="s">
        <v>59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111</v>
      </c>
      <c r="U521" t="s">
        <v>68</v>
      </c>
      <c r="V521" t="s">
        <v>2834</v>
      </c>
      <c r="W521" t="s">
        <v>2834</v>
      </c>
      <c r="X521" t="s">
        <v>2834</v>
      </c>
      <c r="Y521" t="s">
        <v>2834</v>
      </c>
      <c r="Z521">
        <v>4</v>
      </c>
      <c r="AA521" t="s">
        <v>2789</v>
      </c>
      <c r="AB521">
        <v>0.2</v>
      </c>
      <c r="AC521" t="s">
        <v>2794</v>
      </c>
      <c r="AD521">
        <v>13968.672</v>
      </c>
      <c r="AE521">
        <v>5111.0920000000006</v>
      </c>
      <c r="AF521">
        <v>0.36589677243477409</v>
      </c>
      <c r="AG521" t="s">
        <v>2826</v>
      </c>
      <c r="AH521">
        <v>2025</v>
      </c>
      <c r="AI521" t="s">
        <v>2835</v>
      </c>
    </row>
    <row r="522" spans="1:35">
      <c r="A522" t="s">
        <v>1658</v>
      </c>
      <c r="B522">
        <v>45489</v>
      </c>
      <c r="C522">
        <v>45496</v>
      </c>
      <c r="D522" t="s">
        <v>1659</v>
      </c>
      <c r="E522" t="s">
        <v>128</v>
      </c>
      <c r="F522" t="s">
        <v>95</v>
      </c>
      <c r="G522" t="s">
        <v>54</v>
      </c>
      <c r="H522" t="s">
        <v>175</v>
      </c>
      <c r="I522" t="s">
        <v>176</v>
      </c>
      <c r="J522" t="s">
        <v>74</v>
      </c>
      <c r="K522" t="s">
        <v>274</v>
      </c>
      <c r="L522" t="s">
        <v>1660</v>
      </c>
      <c r="M522" t="s">
        <v>44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32</v>
      </c>
      <c r="U522" t="s">
        <v>33</v>
      </c>
      <c r="V522" t="s">
        <v>2834</v>
      </c>
      <c r="W522" t="s">
        <v>2834</v>
      </c>
      <c r="X522" t="s">
        <v>2834</v>
      </c>
      <c r="Y522" t="s">
        <v>2834</v>
      </c>
      <c r="Z522">
        <v>7</v>
      </c>
      <c r="AA522" t="s">
        <v>2789</v>
      </c>
      <c r="AB522">
        <v>0.05</v>
      </c>
      <c r="AC522" t="s">
        <v>2794</v>
      </c>
      <c r="AD522">
        <v>1611.1144999999999</v>
      </c>
      <c r="AE522">
        <v>715.96449999999993</v>
      </c>
      <c r="AF522">
        <v>0.44439082386757739</v>
      </c>
      <c r="AG522" t="s">
        <v>2826</v>
      </c>
      <c r="AH522">
        <v>2024</v>
      </c>
      <c r="AI522" t="s">
        <v>2835</v>
      </c>
    </row>
    <row r="523" spans="1:35">
      <c r="A523" t="s">
        <v>1661</v>
      </c>
      <c r="B523">
        <v>45741</v>
      </c>
      <c r="C523">
        <v>45748</v>
      </c>
      <c r="D523" t="s">
        <v>1662</v>
      </c>
      <c r="E523" t="s">
        <v>162</v>
      </c>
      <c r="F523" t="s">
        <v>24</v>
      </c>
      <c r="G523" t="s">
        <v>25</v>
      </c>
      <c r="H523" t="s">
        <v>122</v>
      </c>
      <c r="I523" t="s">
        <v>123</v>
      </c>
      <c r="J523" t="s">
        <v>28</v>
      </c>
      <c r="K523" t="s">
        <v>91</v>
      </c>
      <c r="L523" t="s">
        <v>1663</v>
      </c>
      <c r="M523" t="s">
        <v>31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32</v>
      </c>
      <c r="U523" t="s">
        <v>33</v>
      </c>
      <c r="V523" t="s">
        <v>2834</v>
      </c>
      <c r="W523" t="s">
        <v>2834</v>
      </c>
      <c r="X523" t="s">
        <v>2834</v>
      </c>
      <c r="Y523" t="s">
        <v>2834</v>
      </c>
      <c r="Z523">
        <v>7</v>
      </c>
      <c r="AA523" t="s">
        <v>2789</v>
      </c>
      <c r="AB523">
        <v>0.05</v>
      </c>
      <c r="AC523" t="s">
        <v>2794</v>
      </c>
      <c r="AD523">
        <v>12495.027</v>
      </c>
      <c r="AE523">
        <v>3310.5069999999996</v>
      </c>
      <c r="AF523">
        <v>0.26494596610315446</v>
      </c>
      <c r="AG523" t="s">
        <v>2822</v>
      </c>
      <c r="AH523">
        <v>2025</v>
      </c>
      <c r="AI523" t="s">
        <v>2835</v>
      </c>
    </row>
    <row r="524" spans="1:35">
      <c r="A524" t="s">
        <v>1664</v>
      </c>
      <c r="B524">
        <v>45716</v>
      </c>
      <c r="C524">
        <v>45724</v>
      </c>
      <c r="D524" t="s">
        <v>1665</v>
      </c>
      <c r="E524" t="s">
        <v>79</v>
      </c>
      <c r="F524" t="s">
        <v>37</v>
      </c>
      <c r="G524" t="s">
        <v>38</v>
      </c>
      <c r="H524" t="s">
        <v>228</v>
      </c>
      <c r="I524" t="s">
        <v>229</v>
      </c>
      <c r="J524" t="s">
        <v>74</v>
      </c>
      <c r="K524" t="s">
        <v>171</v>
      </c>
      <c r="L524" t="s">
        <v>1666</v>
      </c>
      <c r="M524" t="s">
        <v>50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32</v>
      </c>
      <c r="U524" t="s">
        <v>33</v>
      </c>
      <c r="V524" t="s">
        <v>2834</v>
      </c>
      <c r="W524" t="s">
        <v>2834</v>
      </c>
      <c r="X524" t="s">
        <v>2834</v>
      </c>
      <c r="Y524" t="s">
        <v>2834</v>
      </c>
      <c r="Z524">
        <v>8</v>
      </c>
      <c r="AA524" t="s">
        <v>2789</v>
      </c>
      <c r="AB524">
        <v>0</v>
      </c>
      <c r="AC524" t="s">
        <v>2794</v>
      </c>
      <c r="AD524">
        <v>33034.86</v>
      </c>
      <c r="AE524">
        <v>8495.0299999999988</v>
      </c>
      <c r="AF524">
        <v>0.25715350390466307</v>
      </c>
      <c r="AG524" t="s">
        <v>2821</v>
      </c>
      <c r="AH524">
        <v>2025</v>
      </c>
      <c r="AI524" t="s">
        <v>2835</v>
      </c>
    </row>
    <row r="525" spans="1:35">
      <c r="A525" t="s">
        <v>1667</v>
      </c>
      <c r="B525">
        <v>45384</v>
      </c>
      <c r="C525">
        <v>45385</v>
      </c>
      <c r="D525" t="s">
        <v>1668</v>
      </c>
      <c r="E525" t="s">
        <v>264</v>
      </c>
      <c r="F525" t="s">
        <v>95</v>
      </c>
      <c r="G525" t="s">
        <v>63</v>
      </c>
      <c r="H525" t="s">
        <v>190</v>
      </c>
      <c r="I525" t="s">
        <v>191</v>
      </c>
      <c r="J525" t="s">
        <v>28</v>
      </c>
      <c r="K525" t="s">
        <v>29</v>
      </c>
      <c r="L525" t="s">
        <v>1669</v>
      </c>
      <c r="M525" t="s">
        <v>31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32</v>
      </c>
      <c r="U525" t="s">
        <v>103</v>
      </c>
      <c r="V525" t="s">
        <v>2834</v>
      </c>
      <c r="W525" t="s">
        <v>2834</v>
      </c>
      <c r="X525" t="s">
        <v>2834</v>
      </c>
      <c r="Y525" t="s">
        <v>2834</v>
      </c>
      <c r="Z525">
        <v>1</v>
      </c>
      <c r="AA525" t="s">
        <v>2789</v>
      </c>
      <c r="AB525">
        <v>0</v>
      </c>
      <c r="AC525" t="s">
        <v>2794</v>
      </c>
      <c r="AD525">
        <v>5805.26</v>
      </c>
      <c r="AE525">
        <v>1150.9000000000005</v>
      </c>
      <c r="AF525">
        <v>0.19825124111581574</v>
      </c>
      <c r="AG525" t="s">
        <v>2823</v>
      </c>
      <c r="AH525">
        <v>2024</v>
      </c>
      <c r="AI525" t="s">
        <v>2835</v>
      </c>
    </row>
    <row r="526" spans="1:35">
      <c r="A526" t="s">
        <v>1670</v>
      </c>
      <c r="B526">
        <v>45626</v>
      </c>
      <c r="C526">
        <v>45627</v>
      </c>
      <c r="D526" t="s">
        <v>1671</v>
      </c>
      <c r="E526" t="s">
        <v>62</v>
      </c>
      <c r="F526" t="s">
        <v>90</v>
      </c>
      <c r="G526" t="s">
        <v>63</v>
      </c>
      <c r="H526" t="s">
        <v>180</v>
      </c>
      <c r="I526" t="s">
        <v>181</v>
      </c>
      <c r="J526" t="s">
        <v>41</v>
      </c>
      <c r="K526" t="s">
        <v>66</v>
      </c>
      <c r="L526" t="s">
        <v>1672</v>
      </c>
      <c r="M526" t="s">
        <v>50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32</v>
      </c>
      <c r="U526" t="s">
        <v>33</v>
      </c>
      <c r="V526" t="s">
        <v>2834</v>
      </c>
      <c r="W526" t="s">
        <v>2834</v>
      </c>
      <c r="X526" t="s">
        <v>2834</v>
      </c>
      <c r="Y526" t="s">
        <v>2834</v>
      </c>
      <c r="Z526">
        <v>1</v>
      </c>
      <c r="AA526" t="s">
        <v>2789</v>
      </c>
      <c r="AB526">
        <v>0.1</v>
      </c>
      <c r="AC526" t="s">
        <v>2794</v>
      </c>
      <c r="AD526">
        <v>34079.616000000002</v>
      </c>
      <c r="AE526">
        <v>12208.226000000002</v>
      </c>
      <c r="AF526">
        <v>0.35822663025311091</v>
      </c>
      <c r="AG526" t="s">
        <v>2830</v>
      </c>
      <c r="AH526">
        <v>2024</v>
      </c>
      <c r="AI526" t="s">
        <v>2835</v>
      </c>
    </row>
    <row r="527" spans="1:35">
      <c r="A527" t="s">
        <v>1673</v>
      </c>
      <c r="B527">
        <v>45582</v>
      </c>
      <c r="C527">
        <v>45582</v>
      </c>
      <c r="D527" t="s">
        <v>1674</v>
      </c>
      <c r="E527" t="s">
        <v>114</v>
      </c>
      <c r="F527" t="s">
        <v>95</v>
      </c>
      <c r="G527" t="s">
        <v>38</v>
      </c>
      <c r="H527" t="s">
        <v>99</v>
      </c>
      <c r="I527" t="s">
        <v>100</v>
      </c>
      <c r="J527" t="s">
        <v>41</v>
      </c>
      <c r="K527" t="s">
        <v>66</v>
      </c>
      <c r="L527" t="s">
        <v>1675</v>
      </c>
      <c r="M527" t="s">
        <v>59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32</v>
      </c>
      <c r="U527" t="s">
        <v>33</v>
      </c>
      <c r="V527" t="s">
        <v>2834</v>
      </c>
      <c r="W527" t="s">
        <v>2834</v>
      </c>
      <c r="X527" t="s">
        <v>2834</v>
      </c>
      <c r="Y527" t="s">
        <v>2834</v>
      </c>
      <c r="Z527">
        <v>0</v>
      </c>
      <c r="AA527" t="s">
        <v>2789</v>
      </c>
      <c r="AB527">
        <v>0.1</v>
      </c>
      <c r="AC527" t="s">
        <v>2794</v>
      </c>
      <c r="AD527">
        <v>11359.800000000001</v>
      </c>
      <c r="AE527">
        <v>4297.3600000000015</v>
      </c>
      <c r="AF527">
        <v>0.37829539252451638</v>
      </c>
      <c r="AG527" t="s">
        <v>2829</v>
      </c>
      <c r="AH527">
        <v>2024</v>
      </c>
      <c r="AI527" t="s">
        <v>2835</v>
      </c>
    </row>
    <row r="528" spans="1:35">
      <c r="A528" t="s">
        <v>1676</v>
      </c>
      <c r="B528">
        <v>45856</v>
      </c>
      <c r="C528">
        <v>45859</v>
      </c>
      <c r="D528" t="s">
        <v>1677</v>
      </c>
      <c r="E528" t="s">
        <v>114</v>
      </c>
      <c r="F528" t="s">
        <v>24</v>
      </c>
      <c r="G528" t="s">
        <v>38</v>
      </c>
      <c r="H528" t="s">
        <v>39</v>
      </c>
      <c r="I528" t="s">
        <v>40</v>
      </c>
      <c r="J528" t="s">
        <v>41</v>
      </c>
      <c r="K528" t="s">
        <v>42</v>
      </c>
      <c r="L528" t="s">
        <v>1678</v>
      </c>
      <c r="M528" t="s">
        <v>31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32</v>
      </c>
      <c r="U528" t="s">
        <v>33</v>
      </c>
      <c r="V528" t="s">
        <v>2834</v>
      </c>
      <c r="W528" t="s">
        <v>2834</v>
      </c>
      <c r="X528" t="s">
        <v>2834</v>
      </c>
      <c r="Y528" t="s">
        <v>2834</v>
      </c>
      <c r="Z528">
        <v>3</v>
      </c>
      <c r="AA528" t="s">
        <v>2789</v>
      </c>
      <c r="AB528">
        <v>0</v>
      </c>
      <c r="AC528" t="s">
        <v>2796</v>
      </c>
      <c r="AD528">
        <v>1136.1600000000001</v>
      </c>
      <c r="AE528">
        <v>564.08000000000004</v>
      </c>
      <c r="AF528">
        <v>0.49647936910294327</v>
      </c>
      <c r="AG528" t="s">
        <v>2826</v>
      </c>
      <c r="AH528">
        <v>2025</v>
      </c>
      <c r="AI528" t="s">
        <v>2838</v>
      </c>
    </row>
    <row r="529" spans="1:35">
      <c r="A529" t="s">
        <v>1679</v>
      </c>
      <c r="B529">
        <v>45931</v>
      </c>
      <c r="C529">
        <v>45935</v>
      </c>
      <c r="D529" t="s">
        <v>1680</v>
      </c>
      <c r="E529" t="s">
        <v>89</v>
      </c>
      <c r="F529" t="s">
        <v>95</v>
      </c>
      <c r="G529" t="s">
        <v>25</v>
      </c>
      <c r="H529" t="s">
        <v>236</v>
      </c>
      <c r="I529" t="s">
        <v>237</v>
      </c>
      <c r="J529" t="s">
        <v>28</v>
      </c>
      <c r="K529" t="s">
        <v>29</v>
      </c>
      <c r="L529" t="s">
        <v>1681</v>
      </c>
      <c r="M529" t="s">
        <v>50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32</v>
      </c>
      <c r="U529" t="s">
        <v>33</v>
      </c>
      <c r="V529" t="s">
        <v>2834</v>
      </c>
      <c r="W529" t="s">
        <v>2834</v>
      </c>
      <c r="X529" t="s">
        <v>2834</v>
      </c>
      <c r="Y529" t="s">
        <v>2834</v>
      </c>
      <c r="Z529">
        <v>4</v>
      </c>
      <c r="AA529" t="s">
        <v>2789</v>
      </c>
      <c r="AB529">
        <v>0.15</v>
      </c>
      <c r="AC529" t="s">
        <v>2794</v>
      </c>
      <c r="AD529">
        <v>13802.13</v>
      </c>
      <c r="AE529">
        <v>3726.1999999999989</v>
      </c>
      <c r="AF529">
        <v>0.26997282303528508</v>
      </c>
      <c r="AG529" t="s">
        <v>2829</v>
      </c>
      <c r="AH529">
        <v>2025</v>
      </c>
      <c r="AI529" t="s">
        <v>2835</v>
      </c>
    </row>
    <row r="530" spans="1:35">
      <c r="A530" t="s">
        <v>1682</v>
      </c>
      <c r="B530">
        <v>45572</v>
      </c>
      <c r="C530">
        <v>45574</v>
      </c>
      <c r="D530" t="s">
        <v>1683</v>
      </c>
      <c r="E530" t="s">
        <v>162</v>
      </c>
      <c r="F530" t="s">
        <v>24</v>
      </c>
      <c r="G530" t="s">
        <v>54</v>
      </c>
      <c r="H530" t="s">
        <v>247</v>
      </c>
      <c r="I530" t="s">
        <v>248</v>
      </c>
      <c r="J530" t="s">
        <v>28</v>
      </c>
      <c r="K530" t="s">
        <v>153</v>
      </c>
      <c r="L530" t="s">
        <v>1684</v>
      </c>
      <c r="M530" t="s">
        <v>59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111</v>
      </c>
      <c r="U530" t="s">
        <v>103</v>
      </c>
      <c r="V530" t="s">
        <v>2834</v>
      </c>
      <c r="W530" t="s">
        <v>2834</v>
      </c>
      <c r="X530" t="s">
        <v>2834</v>
      </c>
      <c r="Y530" t="s">
        <v>2834</v>
      </c>
      <c r="Z530">
        <v>2</v>
      </c>
      <c r="AA530" t="s">
        <v>2789</v>
      </c>
      <c r="AB530">
        <v>0.05</v>
      </c>
      <c r="AC530" t="s">
        <v>2794</v>
      </c>
      <c r="AD530">
        <v>29558.119500000001</v>
      </c>
      <c r="AE530">
        <v>8255.9894999999997</v>
      </c>
      <c r="AF530">
        <v>0.27931376013281223</v>
      </c>
      <c r="AG530" t="s">
        <v>2829</v>
      </c>
      <c r="AH530">
        <v>2024</v>
      </c>
      <c r="AI530" t="s">
        <v>2835</v>
      </c>
    </row>
    <row r="531" spans="1:35">
      <c r="A531" t="s">
        <v>1685</v>
      </c>
      <c r="B531">
        <v>45328</v>
      </c>
      <c r="C531">
        <v>45330</v>
      </c>
      <c r="D531" t="s">
        <v>729</v>
      </c>
      <c r="E531" t="s">
        <v>23</v>
      </c>
      <c r="F531" t="s">
        <v>24</v>
      </c>
      <c r="G531" t="s">
        <v>38</v>
      </c>
      <c r="H531" t="s">
        <v>228</v>
      </c>
      <c r="I531" t="s">
        <v>229</v>
      </c>
      <c r="J531" t="s">
        <v>41</v>
      </c>
      <c r="K531" t="s">
        <v>158</v>
      </c>
      <c r="L531" t="s">
        <v>1686</v>
      </c>
      <c r="M531" t="s">
        <v>31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32</v>
      </c>
      <c r="U531" t="s">
        <v>33</v>
      </c>
      <c r="V531" t="s">
        <v>2834</v>
      </c>
      <c r="W531" t="s">
        <v>2834</v>
      </c>
      <c r="X531" t="s">
        <v>2834</v>
      </c>
      <c r="Y531" t="s">
        <v>2834</v>
      </c>
      <c r="Z531">
        <v>2</v>
      </c>
      <c r="AA531" t="s">
        <v>2789</v>
      </c>
      <c r="AB531">
        <v>0</v>
      </c>
      <c r="AC531" t="s">
        <v>2794</v>
      </c>
      <c r="AD531">
        <v>16400.25</v>
      </c>
      <c r="AE531">
        <v>4253.2900000000009</v>
      </c>
      <c r="AF531">
        <v>0.25934299782015524</v>
      </c>
      <c r="AG531" t="s">
        <v>2821</v>
      </c>
      <c r="AH531">
        <v>2024</v>
      </c>
      <c r="AI531" t="s">
        <v>2835</v>
      </c>
    </row>
    <row r="532" spans="1:35">
      <c r="A532" t="s">
        <v>1687</v>
      </c>
      <c r="B532">
        <v>45807</v>
      </c>
      <c r="C532">
        <v>45809</v>
      </c>
      <c r="D532" t="s">
        <v>1688</v>
      </c>
      <c r="E532" t="s">
        <v>118</v>
      </c>
      <c r="F532" t="s">
        <v>95</v>
      </c>
      <c r="G532" t="s">
        <v>54</v>
      </c>
      <c r="H532" t="s">
        <v>247</v>
      </c>
      <c r="I532" t="s">
        <v>248</v>
      </c>
      <c r="J532" t="s">
        <v>28</v>
      </c>
      <c r="K532" t="s">
        <v>153</v>
      </c>
      <c r="L532" t="s">
        <v>1689</v>
      </c>
      <c r="M532" t="s">
        <v>59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32</v>
      </c>
      <c r="U532" t="s">
        <v>33</v>
      </c>
      <c r="V532" t="s">
        <v>2834</v>
      </c>
      <c r="W532" t="s">
        <v>2834</v>
      </c>
      <c r="X532" t="s">
        <v>2834</v>
      </c>
      <c r="Y532" t="s">
        <v>2834</v>
      </c>
      <c r="Z532">
        <v>2</v>
      </c>
      <c r="AA532" t="s">
        <v>2789</v>
      </c>
      <c r="AB532">
        <v>0.05</v>
      </c>
      <c r="AC532" t="s">
        <v>2794</v>
      </c>
      <c r="AD532">
        <v>17053.0605</v>
      </c>
      <c r="AE532">
        <v>6310.6805000000004</v>
      </c>
      <c r="AF532">
        <v>0.37006146198801093</v>
      </c>
      <c r="AG532" t="s">
        <v>2824</v>
      </c>
      <c r="AH532">
        <v>2025</v>
      </c>
      <c r="AI532" t="s">
        <v>2835</v>
      </c>
    </row>
    <row r="533" spans="1:35">
      <c r="A533" t="s">
        <v>1690</v>
      </c>
      <c r="B533">
        <v>45505</v>
      </c>
      <c r="C533">
        <v>45512</v>
      </c>
      <c r="D533" t="s">
        <v>1691</v>
      </c>
      <c r="E533" t="s">
        <v>162</v>
      </c>
      <c r="F533" t="s">
        <v>37</v>
      </c>
      <c r="G533" t="s">
        <v>63</v>
      </c>
      <c r="H533" t="s">
        <v>64</v>
      </c>
      <c r="I533" t="s">
        <v>65</v>
      </c>
      <c r="J533" t="s">
        <v>28</v>
      </c>
      <c r="K533" t="s">
        <v>124</v>
      </c>
      <c r="L533" t="s">
        <v>1692</v>
      </c>
      <c r="M533" t="s">
        <v>2791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32</v>
      </c>
      <c r="U533" t="s">
        <v>33</v>
      </c>
      <c r="V533" t="s">
        <v>2834</v>
      </c>
      <c r="W533" t="s">
        <v>2834</v>
      </c>
      <c r="X533" t="s">
        <v>2834</v>
      </c>
      <c r="Y533" t="s">
        <v>2834</v>
      </c>
      <c r="Z533">
        <v>7</v>
      </c>
      <c r="AA533" t="s">
        <v>2789</v>
      </c>
      <c r="AB533">
        <v>0.1</v>
      </c>
      <c r="AC533" t="s">
        <v>2794</v>
      </c>
      <c r="AD533">
        <v>398.67300000000006</v>
      </c>
      <c r="AE533">
        <v>87.013000000000034</v>
      </c>
      <c r="AF533">
        <v>0.21825656615822997</v>
      </c>
      <c r="AG533" t="s">
        <v>2827</v>
      </c>
      <c r="AH533">
        <v>2024</v>
      </c>
      <c r="AI533" t="s">
        <v>2838</v>
      </c>
    </row>
    <row r="534" spans="1:35">
      <c r="A534" t="s">
        <v>1693</v>
      </c>
      <c r="B534">
        <v>45935</v>
      </c>
      <c r="C534">
        <v>45940</v>
      </c>
      <c r="D534" t="s">
        <v>1694</v>
      </c>
      <c r="E534" t="s">
        <v>114</v>
      </c>
      <c r="F534" t="s">
        <v>90</v>
      </c>
      <c r="G534" t="s">
        <v>38</v>
      </c>
      <c r="H534" t="s">
        <v>166</v>
      </c>
      <c r="I534" t="s">
        <v>167</v>
      </c>
      <c r="J534" t="s">
        <v>41</v>
      </c>
      <c r="K534" t="s">
        <v>42</v>
      </c>
      <c r="L534" t="s">
        <v>1695</v>
      </c>
      <c r="M534" t="s">
        <v>31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155</v>
      </c>
      <c r="U534" t="s">
        <v>68</v>
      </c>
      <c r="V534" t="s">
        <v>2834</v>
      </c>
      <c r="W534" t="s">
        <v>2834</v>
      </c>
      <c r="X534" t="s">
        <v>2834</v>
      </c>
      <c r="Y534" t="s">
        <v>2834</v>
      </c>
      <c r="Z534">
        <v>5</v>
      </c>
      <c r="AA534" t="s">
        <v>2789</v>
      </c>
      <c r="AB534">
        <v>0.05</v>
      </c>
      <c r="AC534" t="s">
        <v>2794</v>
      </c>
      <c r="AD534">
        <v>17862.146999999997</v>
      </c>
      <c r="AE534">
        <v>7969.9369999999981</v>
      </c>
      <c r="AF534">
        <v>0.44619143488182017</v>
      </c>
      <c r="AG534" t="s">
        <v>2829</v>
      </c>
      <c r="AH534">
        <v>2025</v>
      </c>
      <c r="AI534" t="s">
        <v>2835</v>
      </c>
    </row>
    <row r="535" spans="1:35">
      <c r="A535" t="s">
        <v>1696</v>
      </c>
      <c r="B535">
        <v>45529</v>
      </c>
      <c r="C535">
        <v>45536</v>
      </c>
      <c r="D535" t="s">
        <v>1697</v>
      </c>
      <c r="E535" t="s">
        <v>47</v>
      </c>
      <c r="F535" t="s">
        <v>95</v>
      </c>
      <c r="G535" t="s">
        <v>25</v>
      </c>
      <c r="H535" t="s">
        <v>26</v>
      </c>
      <c r="I535" t="s">
        <v>27</v>
      </c>
      <c r="J535" t="s">
        <v>41</v>
      </c>
      <c r="K535" t="s">
        <v>42</v>
      </c>
      <c r="L535" t="s">
        <v>1698</v>
      </c>
      <c r="M535" t="s">
        <v>44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32</v>
      </c>
      <c r="U535" t="s">
        <v>33</v>
      </c>
      <c r="V535" t="s">
        <v>2834</v>
      </c>
      <c r="W535" t="s">
        <v>2834</v>
      </c>
      <c r="X535" t="s">
        <v>2834</v>
      </c>
      <c r="Y535" t="s">
        <v>2834</v>
      </c>
      <c r="Z535">
        <v>7</v>
      </c>
      <c r="AA535" t="s">
        <v>2789</v>
      </c>
      <c r="AB535">
        <v>0.25</v>
      </c>
      <c r="AC535" t="s">
        <v>2794</v>
      </c>
      <c r="AD535">
        <v>2165.8500000000004</v>
      </c>
      <c r="AE535">
        <v>41.370000000000346</v>
      </c>
      <c r="AF535">
        <v>1.91010457787937E-2</v>
      </c>
      <c r="AG535" t="s">
        <v>2827</v>
      </c>
      <c r="AH535">
        <v>2024</v>
      </c>
      <c r="AI535" t="s">
        <v>2835</v>
      </c>
    </row>
    <row r="536" spans="1:35">
      <c r="A536" t="s">
        <v>1699</v>
      </c>
      <c r="B536">
        <v>45774</v>
      </c>
      <c r="C536">
        <v>45782</v>
      </c>
      <c r="D536" t="s">
        <v>1700</v>
      </c>
      <c r="E536" t="s">
        <v>141</v>
      </c>
      <c r="F536" t="s">
        <v>95</v>
      </c>
      <c r="G536" t="s">
        <v>38</v>
      </c>
      <c r="H536" t="s">
        <v>145</v>
      </c>
      <c r="I536" t="s">
        <v>146</v>
      </c>
      <c r="J536" t="s">
        <v>74</v>
      </c>
      <c r="K536" t="s">
        <v>75</v>
      </c>
      <c r="L536" t="s">
        <v>1701</v>
      </c>
      <c r="M536" t="s">
        <v>31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111</v>
      </c>
      <c r="U536" t="s">
        <v>103</v>
      </c>
      <c r="V536" t="s">
        <v>2834</v>
      </c>
      <c r="W536" t="s">
        <v>2834</v>
      </c>
      <c r="X536" t="s">
        <v>2834</v>
      </c>
      <c r="Y536" t="s">
        <v>2834</v>
      </c>
      <c r="Z536">
        <v>8</v>
      </c>
      <c r="AA536" t="s">
        <v>2789</v>
      </c>
      <c r="AB536">
        <v>0.1</v>
      </c>
      <c r="AC536" t="s">
        <v>2794</v>
      </c>
      <c r="AD536">
        <v>14268.204</v>
      </c>
      <c r="AE536">
        <v>2562.9040000000005</v>
      </c>
      <c r="AF536">
        <v>0.17962344805274724</v>
      </c>
      <c r="AG536" t="s">
        <v>2823</v>
      </c>
      <c r="AH536">
        <v>2025</v>
      </c>
      <c r="AI536" t="s">
        <v>2835</v>
      </c>
    </row>
    <row r="537" spans="1:35">
      <c r="A537" t="s">
        <v>1702</v>
      </c>
      <c r="B537">
        <v>45431</v>
      </c>
      <c r="C537">
        <v>45433</v>
      </c>
      <c r="D537" t="s">
        <v>1703</v>
      </c>
      <c r="E537" t="s">
        <v>162</v>
      </c>
      <c r="F537" t="s">
        <v>37</v>
      </c>
      <c r="G537" t="s">
        <v>63</v>
      </c>
      <c r="H537" t="s">
        <v>64</v>
      </c>
      <c r="I537" t="s">
        <v>65</v>
      </c>
      <c r="J537" t="s">
        <v>74</v>
      </c>
      <c r="K537" t="s">
        <v>80</v>
      </c>
      <c r="L537" t="s">
        <v>1704</v>
      </c>
      <c r="M537" t="s">
        <v>50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32</v>
      </c>
      <c r="U537" t="s">
        <v>33</v>
      </c>
      <c r="V537" t="s">
        <v>2834</v>
      </c>
      <c r="W537" t="s">
        <v>2834</v>
      </c>
      <c r="X537" t="s">
        <v>2834</v>
      </c>
      <c r="Y537" t="s">
        <v>2834</v>
      </c>
      <c r="Z537">
        <v>2</v>
      </c>
      <c r="AA537" t="s">
        <v>2789</v>
      </c>
      <c r="AB537">
        <v>0.2</v>
      </c>
      <c r="AC537" t="s">
        <v>2794</v>
      </c>
      <c r="AD537">
        <v>9602.3520000000008</v>
      </c>
      <c r="AE537">
        <v>2214.7820000000011</v>
      </c>
      <c r="AF537">
        <v>0.23064994909580494</v>
      </c>
      <c r="AG537" t="s">
        <v>2824</v>
      </c>
      <c r="AH537">
        <v>2024</v>
      </c>
      <c r="AI537" t="s">
        <v>2835</v>
      </c>
    </row>
    <row r="538" spans="1:35">
      <c r="A538" t="s">
        <v>1705</v>
      </c>
      <c r="B538">
        <v>45757</v>
      </c>
      <c r="C538">
        <v>45764</v>
      </c>
      <c r="D538" t="s">
        <v>1706</v>
      </c>
      <c r="E538" t="s">
        <v>62</v>
      </c>
      <c r="F538" t="s">
        <v>37</v>
      </c>
      <c r="G538" t="s">
        <v>63</v>
      </c>
      <c r="H538" t="s">
        <v>26</v>
      </c>
      <c r="I538" t="s">
        <v>109</v>
      </c>
      <c r="J538" t="s">
        <v>41</v>
      </c>
      <c r="K538" t="s">
        <v>66</v>
      </c>
      <c r="L538" t="s">
        <v>1707</v>
      </c>
      <c r="M538" t="s">
        <v>50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155</v>
      </c>
      <c r="U538" t="s">
        <v>68</v>
      </c>
      <c r="V538" t="s">
        <v>2834</v>
      </c>
      <c r="W538" t="s">
        <v>2834</v>
      </c>
      <c r="X538" t="s">
        <v>2834</v>
      </c>
      <c r="Y538" t="s">
        <v>2834</v>
      </c>
      <c r="Z538">
        <v>7</v>
      </c>
      <c r="AA538" t="s">
        <v>2789</v>
      </c>
      <c r="AB538">
        <v>0.25</v>
      </c>
      <c r="AC538" t="s">
        <v>2794</v>
      </c>
      <c r="AD538">
        <v>19891.724999999999</v>
      </c>
      <c r="AE538">
        <v>7595.9649999999983</v>
      </c>
      <c r="AF538">
        <v>0.38186557475533162</v>
      </c>
      <c r="AG538" t="s">
        <v>2823</v>
      </c>
      <c r="AH538">
        <v>2025</v>
      </c>
      <c r="AI538" t="s">
        <v>2835</v>
      </c>
    </row>
    <row r="539" spans="1:35">
      <c r="A539" t="s">
        <v>1708</v>
      </c>
      <c r="B539">
        <v>45313</v>
      </c>
      <c r="C539">
        <v>45321</v>
      </c>
      <c r="D539" t="s">
        <v>1709</v>
      </c>
      <c r="E539" t="s">
        <v>62</v>
      </c>
      <c r="F539" t="s">
        <v>37</v>
      </c>
      <c r="G539" t="s">
        <v>25</v>
      </c>
      <c r="H539" t="s">
        <v>236</v>
      </c>
      <c r="I539" t="s">
        <v>237</v>
      </c>
      <c r="J539" t="s">
        <v>28</v>
      </c>
      <c r="K539" t="s">
        <v>48</v>
      </c>
      <c r="L539" t="s">
        <v>1710</v>
      </c>
      <c r="M539" t="s">
        <v>44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155</v>
      </c>
      <c r="U539" t="s">
        <v>68</v>
      </c>
      <c r="V539" t="s">
        <v>2834</v>
      </c>
      <c r="W539" t="s">
        <v>2834</v>
      </c>
      <c r="X539" t="s">
        <v>2834</v>
      </c>
      <c r="Y539" t="s">
        <v>2834</v>
      </c>
      <c r="Z539">
        <v>8</v>
      </c>
      <c r="AA539" t="s">
        <v>2789</v>
      </c>
      <c r="AB539">
        <v>0.05</v>
      </c>
      <c r="AC539" t="s">
        <v>2794</v>
      </c>
      <c r="AD539">
        <v>1927.6545000000001</v>
      </c>
      <c r="AE539">
        <v>467.05450000000019</v>
      </c>
      <c r="AF539">
        <v>0.24229160360427668</v>
      </c>
      <c r="AG539" t="s">
        <v>2820</v>
      </c>
      <c r="AH539">
        <v>2024</v>
      </c>
      <c r="AI539" t="s">
        <v>2835</v>
      </c>
    </row>
    <row r="540" spans="1:35">
      <c r="A540" t="s">
        <v>1711</v>
      </c>
      <c r="B540">
        <v>45560</v>
      </c>
      <c r="C540">
        <v>45566</v>
      </c>
      <c r="D540" t="s">
        <v>1712</v>
      </c>
      <c r="E540" t="s">
        <v>162</v>
      </c>
      <c r="F540" t="s">
        <v>37</v>
      </c>
      <c r="G540" t="s">
        <v>38</v>
      </c>
      <c r="H540" t="s">
        <v>228</v>
      </c>
      <c r="I540" t="s">
        <v>229</v>
      </c>
      <c r="J540" t="s">
        <v>41</v>
      </c>
      <c r="K540" t="s">
        <v>42</v>
      </c>
      <c r="L540" t="s">
        <v>1713</v>
      </c>
      <c r="M540" t="s">
        <v>31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32</v>
      </c>
      <c r="U540" t="s">
        <v>33</v>
      </c>
      <c r="V540" t="s">
        <v>2834</v>
      </c>
      <c r="W540" t="s">
        <v>2834</v>
      </c>
      <c r="X540" t="s">
        <v>2834</v>
      </c>
      <c r="Y540" t="s">
        <v>2834</v>
      </c>
      <c r="Z540">
        <v>6</v>
      </c>
      <c r="AA540" t="s">
        <v>2789</v>
      </c>
      <c r="AB540">
        <v>0.15</v>
      </c>
      <c r="AC540" t="s">
        <v>2794</v>
      </c>
      <c r="AD540">
        <v>29900.79</v>
      </c>
      <c r="AE540">
        <v>5250.1200000000026</v>
      </c>
      <c r="AF540">
        <v>0.17558465846554563</v>
      </c>
      <c r="AG540" t="s">
        <v>2828</v>
      </c>
      <c r="AH540">
        <v>2024</v>
      </c>
      <c r="AI540" t="s">
        <v>2835</v>
      </c>
    </row>
    <row r="541" spans="1:35">
      <c r="A541" t="s">
        <v>1714</v>
      </c>
      <c r="B541">
        <v>45842</v>
      </c>
      <c r="C541">
        <v>45842</v>
      </c>
      <c r="D541" t="s">
        <v>1715</v>
      </c>
      <c r="E541" t="s">
        <v>36</v>
      </c>
      <c r="F541" t="s">
        <v>37</v>
      </c>
      <c r="G541" t="s">
        <v>54</v>
      </c>
      <c r="H541" t="s">
        <v>247</v>
      </c>
      <c r="I541" t="s">
        <v>248</v>
      </c>
      <c r="J541" t="s">
        <v>41</v>
      </c>
      <c r="K541" t="s">
        <v>66</v>
      </c>
      <c r="L541" t="s">
        <v>1716</v>
      </c>
      <c r="M541" t="s">
        <v>59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32</v>
      </c>
      <c r="U541" t="s">
        <v>68</v>
      </c>
      <c r="V541" t="s">
        <v>2834</v>
      </c>
      <c r="W541" t="s">
        <v>2834</v>
      </c>
      <c r="X541" t="s">
        <v>2834</v>
      </c>
      <c r="Y541" t="s">
        <v>2834</v>
      </c>
      <c r="Z541">
        <v>0</v>
      </c>
      <c r="AA541" t="s">
        <v>2789</v>
      </c>
      <c r="AB541">
        <v>0.1</v>
      </c>
      <c r="AC541" t="s">
        <v>2794</v>
      </c>
      <c r="AD541">
        <v>1904.4450000000002</v>
      </c>
      <c r="AE541">
        <v>587.9050000000002</v>
      </c>
      <c r="AF541">
        <v>0.30870148520960183</v>
      </c>
      <c r="AG541" t="s">
        <v>2826</v>
      </c>
      <c r="AH541">
        <v>2025</v>
      </c>
      <c r="AI541" t="s">
        <v>2835</v>
      </c>
    </row>
    <row r="542" spans="1:35">
      <c r="A542" t="s">
        <v>1717</v>
      </c>
      <c r="B542">
        <v>45348</v>
      </c>
      <c r="C542">
        <v>45345</v>
      </c>
      <c r="D542" t="s">
        <v>1718</v>
      </c>
      <c r="E542" t="s">
        <v>264</v>
      </c>
      <c r="F542" t="s">
        <v>24</v>
      </c>
      <c r="G542" t="s">
        <v>63</v>
      </c>
      <c r="H542" t="s">
        <v>180</v>
      </c>
      <c r="I542" t="s">
        <v>181</v>
      </c>
      <c r="J542" t="s">
        <v>41</v>
      </c>
      <c r="K542" t="s">
        <v>57</v>
      </c>
      <c r="L542" t="s">
        <v>1719</v>
      </c>
      <c r="M542" t="s">
        <v>59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32</v>
      </c>
      <c r="U542" t="s">
        <v>33</v>
      </c>
      <c r="V542" t="s">
        <v>2834</v>
      </c>
      <c r="W542" t="s">
        <v>2834</v>
      </c>
      <c r="X542" t="s">
        <v>2834</v>
      </c>
      <c r="Y542" t="s">
        <v>2837</v>
      </c>
      <c r="Z542">
        <v>-3</v>
      </c>
      <c r="AA542" t="s">
        <v>2789</v>
      </c>
      <c r="AB542">
        <v>0.2</v>
      </c>
      <c r="AC542" t="s">
        <v>2794</v>
      </c>
      <c r="AD542">
        <v>21571.592000000004</v>
      </c>
      <c r="AE542">
        <v>4453.5220000000045</v>
      </c>
      <c r="AF542">
        <v>0.20645309813017063</v>
      </c>
      <c r="AG542" t="s">
        <v>2821</v>
      </c>
      <c r="AH542">
        <v>2024</v>
      </c>
      <c r="AI542" t="s">
        <v>2836</v>
      </c>
    </row>
    <row r="543" spans="1:35">
      <c r="A543" t="s">
        <v>1720</v>
      </c>
      <c r="B543">
        <v>45846</v>
      </c>
      <c r="C543">
        <v>45847</v>
      </c>
      <c r="D543" t="s">
        <v>1721</v>
      </c>
      <c r="E543" t="s">
        <v>132</v>
      </c>
      <c r="F543" t="s">
        <v>24</v>
      </c>
      <c r="G543" t="s">
        <v>63</v>
      </c>
      <c r="H543" t="s">
        <v>64</v>
      </c>
      <c r="I543" t="s">
        <v>65</v>
      </c>
      <c r="J543" t="s">
        <v>74</v>
      </c>
      <c r="K543" t="s">
        <v>80</v>
      </c>
      <c r="L543" t="s">
        <v>1722</v>
      </c>
      <c r="M543" t="s">
        <v>44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32</v>
      </c>
      <c r="U543" t="s">
        <v>103</v>
      </c>
      <c r="V543" t="s">
        <v>2834</v>
      </c>
      <c r="W543" t="s">
        <v>2834</v>
      </c>
      <c r="X543" t="s">
        <v>2834</v>
      </c>
      <c r="Y543" t="s">
        <v>2834</v>
      </c>
      <c r="Z543">
        <v>1</v>
      </c>
      <c r="AA543" t="s">
        <v>2789</v>
      </c>
      <c r="AB543">
        <v>0</v>
      </c>
      <c r="AC543" t="s">
        <v>2794</v>
      </c>
      <c r="AD543">
        <v>8641.68</v>
      </c>
      <c r="AE543">
        <v>2894.59</v>
      </c>
      <c r="AF543">
        <v>0.33495686024013849</v>
      </c>
      <c r="AG543" t="s">
        <v>2826</v>
      </c>
      <c r="AH543">
        <v>2025</v>
      </c>
      <c r="AI543" t="s">
        <v>2835</v>
      </c>
    </row>
    <row r="544" spans="1:35">
      <c r="A544" t="s">
        <v>1723</v>
      </c>
      <c r="B544">
        <v>45552</v>
      </c>
      <c r="C544">
        <v>45558</v>
      </c>
      <c r="D544" t="s">
        <v>1724</v>
      </c>
      <c r="E544" t="s">
        <v>118</v>
      </c>
      <c r="F544" t="s">
        <v>95</v>
      </c>
      <c r="G544" t="s">
        <v>54</v>
      </c>
      <c r="H544" t="s">
        <v>185</v>
      </c>
      <c r="I544" t="s">
        <v>186</v>
      </c>
      <c r="J544" t="s">
        <v>41</v>
      </c>
      <c r="K544" t="s">
        <v>158</v>
      </c>
      <c r="L544" t="s">
        <v>1725</v>
      </c>
      <c r="M544" t="s">
        <v>31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32</v>
      </c>
      <c r="U544" t="s">
        <v>68</v>
      </c>
      <c r="V544" t="s">
        <v>2834</v>
      </c>
      <c r="W544" t="s">
        <v>2834</v>
      </c>
      <c r="X544" t="s">
        <v>2834</v>
      </c>
      <c r="Y544" t="s">
        <v>2834</v>
      </c>
      <c r="Z544">
        <v>6</v>
      </c>
      <c r="AA544" t="s">
        <v>2789</v>
      </c>
      <c r="AB544">
        <v>0.2</v>
      </c>
      <c r="AC544" t="s">
        <v>2794</v>
      </c>
      <c r="AD544">
        <v>9762.2880000000005</v>
      </c>
      <c r="AE544">
        <v>1394.0480000000007</v>
      </c>
      <c r="AF544">
        <v>0.14279931098119628</v>
      </c>
      <c r="AG544" t="s">
        <v>2828</v>
      </c>
      <c r="AH544">
        <v>2024</v>
      </c>
      <c r="AI544" t="s">
        <v>2835</v>
      </c>
    </row>
    <row r="545" spans="1:35">
      <c r="A545" t="s">
        <v>1726</v>
      </c>
      <c r="B545">
        <v>45487</v>
      </c>
      <c r="C545">
        <v>45493</v>
      </c>
      <c r="D545" t="s">
        <v>1727</v>
      </c>
      <c r="E545" t="s">
        <v>36</v>
      </c>
      <c r="F545" t="s">
        <v>24</v>
      </c>
      <c r="G545" t="s">
        <v>38</v>
      </c>
      <c r="H545" t="s">
        <v>145</v>
      </c>
      <c r="I545" t="s">
        <v>146</v>
      </c>
      <c r="J545" t="s">
        <v>74</v>
      </c>
      <c r="K545" t="s">
        <v>80</v>
      </c>
      <c r="L545" t="s">
        <v>1728</v>
      </c>
      <c r="M545" t="s">
        <v>44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32</v>
      </c>
      <c r="U545" t="s">
        <v>33</v>
      </c>
      <c r="V545" t="s">
        <v>2834</v>
      </c>
      <c r="W545" t="s">
        <v>2834</v>
      </c>
      <c r="X545" t="s">
        <v>2834</v>
      </c>
      <c r="Y545" t="s">
        <v>2834</v>
      </c>
      <c r="Z545">
        <v>6</v>
      </c>
      <c r="AA545" t="s">
        <v>2789</v>
      </c>
      <c r="AB545">
        <v>0.15</v>
      </c>
      <c r="AC545" t="s">
        <v>2794</v>
      </c>
      <c r="AD545">
        <v>418.76949999999999</v>
      </c>
      <c r="AE545">
        <v>105.04949999999997</v>
      </c>
      <c r="AF545">
        <v>0.25085279610859906</v>
      </c>
      <c r="AG545" t="s">
        <v>2826</v>
      </c>
      <c r="AH545">
        <v>2024</v>
      </c>
      <c r="AI545" t="s">
        <v>2835</v>
      </c>
    </row>
    <row r="546" spans="1:35">
      <c r="A546" t="s">
        <v>1729</v>
      </c>
      <c r="B546">
        <v>45686</v>
      </c>
      <c r="C546">
        <v>45693</v>
      </c>
      <c r="D546" t="s">
        <v>1730</v>
      </c>
      <c r="E546" t="s">
        <v>62</v>
      </c>
      <c r="F546" t="s">
        <v>24</v>
      </c>
      <c r="G546" t="s">
        <v>54</v>
      </c>
      <c r="H546" t="s">
        <v>185</v>
      </c>
      <c r="I546" t="s">
        <v>186</v>
      </c>
      <c r="J546" t="s">
        <v>28</v>
      </c>
      <c r="K546" t="s">
        <v>48</v>
      </c>
      <c r="L546" t="s">
        <v>1731</v>
      </c>
      <c r="M546" t="s">
        <v>44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32</v>
      </c>
      <c r="U546" t="s">
        <v>68</v>
      </c>
      <c r="V546" t="s">
        <v>2834</v>
      </c>
      <c r="W546" t="s">
        <v>2834</v>
      </c>
      <c r="X546" t="s">
        <v>2834</v>
      </c>
      <c r="Y546" t="s">
        <v>2834</v>
      </c>
      <c r="Z546">
        <v>7</v>
      </c>
      <c r="AA546" t="s">
        <v>2789</v>
      </c>
      <c r="AB546">
        <v>0.25</v>
      </c>
      <c r="AC546" t="s">
        <v>2794</v>
      </c>
      <c r="AD546">
        <v>21861.72</v>
      </c>
      <c r="AE546">
        <v>3397.380000000001</v>
      </c>
      <c r="AF546">
        <v>0.1554031430280875</v>
      </c>
      <c r="AG546" t="s">
        <v>2820</v>
      </c>
      <c r="AH546">
        <v>2025</v>
      </c>
      <c r="AI546" t="s">
        <v>2835</v>
      </c>
    </row>
    <row r="547" spans="1:35">
      <c r="A547" t="s">
        <v>1732</v>
      </c>
      <c r="B547">
        <v>45439</v>
      </c>
      <c r="C547">
        <v>45442</v>
      </c>
      <c r="D547" t="s">
        <v>1733</v>
      </c>
      <c r="E547" t="s">
        <v>264</v>
      </c>
      <c r="F547" t="s">
        <v>37</v>
      </c>
      <c r="G547" t="s">
        <v>38</v>
      </c>
      <c r="H547" t="s">
        <v>228</v>
      </c>
      <c r="I547" t="s">
        <v>229</v>
      </c>
      <c r="J547" t="s">
        <v>28</v>
      </c>
      <c r="K547" t="s">
        <v>124</v>
      </c>
      <c r="L547" t="s">
        <v>1734</v>
      </c>
      <c r="M547" t="s">
        <v>44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32</v>
      </c>
      <c r="U547" t="s">
        <v>33</v>
      </c>
      <c r="V547" t="s">
        <v>2834</v>
      </c>
      <c r="W547" t="s">
        <v>2834</v>
      </c>
      <c r="X547" t="s">
        <v>2834</v>
      </c>
      <c r="Y547" t="s">
        <v>2834</v>
      </c>
      <c r="Z547">
        <v>3</v>
      </c>
      <c r="AA547" t="s">
        <v>2789</v>
      </c>
      <c r="AB547">
        <v>0.15</v>
      </c>
      <c r="AC547" t="s">
        <v>2794</v>
      </c>
      <c r="AD547">
        <v>17260.116999999998</v>
      </c>
      <c r="AE547">
        <v>3746.6069999999982</v>
      </c>
      <c r="AF547">
        <v>0.21706730029697935</v>
      </c>
      <c r="AG547" t="s">
        <v>2824</v>
      </c>
      <c r="AH547">
        <v>2024</v>
      </c>
      <c r="AI547" t="s">
        <v>2835</v>
      </c>
    </row>
    <row r="548" spans="1:35">
      <c r="A548" t="s">
        <v>1735</v>
      </c>
      <c r="B548">
        <v>45883</v>
      </c>
      <c r="C548">
        <v>45891</v>
      </c>
      <c r="D548" t="s">
        <v>1736</v>
      </c>
      <c r="E548" t="s">
        <v>53</v>
      </c>
      <c r="F548" t="s">
        <v>90</v>
      </c>
      <c r="G548" t="s">
        <v>63</v>
      </c>
      <c r="H548" t="s">
        <v>180</v>
      </c>
      <c r="I548" t="s">
        <v>181</v>
      </c>
      <c r="J548" t="s">
        <v>28</v>
      </c>
      <c r="K548" t="s">
        <v>29</v>
      </c>
      <c r="L548" t="s">
        <v>1737</v>
      </c>
      <c r="M548" t="s">
        <v>50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32</v>
      </c>
      <c r="U548" t="s">
        <v>33</v>
      </c>
      <c r="V548" t="s">
        <v>2834</v>
      </c>
      <c r="W548" t="s">
        <v>2834</v>
      </c>
      <c r="X548" t="s">
        <v>2834</v>
      </c>
      <c r="Y548" t="s">
        <v>2834</v>
      </c>
      <c r="Z548">
        <v>8</v>
      </c>
      <c r="AA548" t="s">
        <v>2789</v>
      </c>
      <c r="AB548">
        <v>0.15</v>
      </c>
      <c r="AC548" t="s">
        <v>2794</v>
      </c>
      <c r="AD548">
        <v>10911.322499999998</v>
      </c>
      <c r="AE548">
        <v>3944.8824999999988</v>
      </c>
      <c r="AF548">
        <v>0.36154027158486052</v>
      </c>
      <c r="AG548" t="s">
        <v>2827</v>
      </c>
      <c r="AH548">
        <v>2025</v>
      </c>
      <c r="AI548" t="s">
        <v>2835</v>
      </c>
    </row>
    <row r="549" spans="1:35">
      <c r="A549" t="s">
        <v>1738</v>
      </c>
      <c r="B549">
        <v>45428</v>
      </c>
      <c r="C549">
        <v>45435</v>
      </c>
      <c r="D549" t="s">
        <v>1739</v>
      </c>
      <c r="E549" t="s">
        <v>79</v>
      </c>
      <c r="F549" t="s">
        <v>37</v>
      </c>
      <c r="G549" t="s">
        <v>25</v>
      </c>
      <c r="H549" t="s">
        <v>136</v>
      </c>
      <c r="I549" t="s">
        <v>137</v>
      </c>
      <c r="J549" t="s">
        <v>74</v>
      </c>
      <c r="K549" t="s">
        <v>80</v>
      </c>
      <c r="L549" t="s">
        <v>1740</v>
      </c>
      <c r="M549" t="s">
        <v>59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32</v>
      </c>
      <c r="U549" t="s">
        <v>33</v>
      </c>
      <c r="V549" t="s">
        <v>2834</v>
      </c>
      <c r="W549" t="s">
        <v>2834</v>
      </c>
      <c r="X549" t="s">
        <v>2834</v>
      </c>
      <c r="Y549" t="s">
        <v>2834</v>
      </c>
      <c r="Z549">
        <v>7</v>
      </c>
      <c r="AA549" t="s">
        <v>2789</v>
      </c>
      <c r="AB549">
        <v>0.1</v>
      </c>
      <c r="AC549" t="s">
        <v>2794</v>
      </c>
      <c r="AD549">
        <v>30148.929</v>
      </c>
      <c r="AE549">
        <v>4993.8590000000004</v>
      </c>
      <c r="AF549">
        <v>0.16563968159532302</v>
      </c>
      <c r="AG549" t="s">
        <v>2824</v>
      </c>
      <c r="AH549">
        <v>2024</v>
      </c>
      <c r="AI549" t="s">
        <v>2835</v>
      </c>
    </row>
    <row r="550" spans="1:35">
      <c r="A550" t="s">
        <v>1741</v>
      </c>
      <c r="B550">
        <v>45441</v>
      </c>
      <c r="C550">
        <v>45441</v>
      </c>
      <c r="D550" t="s">
        <v>1742</v>
      </c>
      <c r="E550" t="s">
        <v>141</v>
      </c>
      <c r="F550" t="s">
        <v>90</v>
      </c>
      <c r="G550" t="s">
        <v>38</v>
      </c>
      <c r="H550" t="s">
        <v>145</v>
      </c>
      <c r="I550" t="s">
        <v>146</v>
      </c>
      <c r="J550" t="s">
        <v>41</v>
      </c>
      <c r="K550" t="s">
        <v>158</v>
      </c>
      <c r="L550" t="s">
        <v>1743</v>
      </c>
      <c r="M550" t="s">
        <v>44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111</v>
      </c>
      <c r="U550" t="s">
        <v>68</v>
      </c>
      <c r="V550" t="s">
        <v>2834</v>
      </c>
      <c r="W550" t="s">
        <v>2834</v>
      </c>
      <c r="X550" t="s">
        <v>2834</v>
      </c>
      <c r="Y550" t="s">
        <v>2834</v>
      </c>
      <c r="Z550">
        <v>0</v>
      </c>
      <c r="AA550" t="s">
        <v>2789</v>
      </c>
      <c r="AB550">
        <v>0</v>
      </c>
      <c r="AC550" t="s">
        <v>2794</v>
      </c>
      <c r="AD550">
        <v>1072.01</v>
      </c>
      <c r="AE550">
        <v>219.39</v>
      </c>
      <c r="AF550">
        <v>0.20465294167032022</v>
      </c>
      <c r="AG550" t="s">
        <v>2824</v>
      </c>
      <c r="AH550">
        <v>2024</v>
      </c>
      <c r="AI550" t="s">
        <v>2835</v>
      </c>
    </row>
    <row r="551" spans="1:35">
      <c r="A551" t="s">
        <v>1744</v>
      </c>
      <c r="B551">
        <v>45941</v>
      </c>
      <c r="C551">
        <v>45943</v>
      </c>
      <c r="D551" t="s">
        <v>1745</v>
      </c>
      <c r="E551" t="s">
        <v>36</v>
      </c>
      <c r="F551" t="s">
        <v>90</v>
      </c>
      <c r="G551" t="s">
        <v>54</v>
      </c>
      <c r="H551" t="s">
        <v>55</v>
      </c>
      <c r="I551" t="s">
        <v>56</v>
      </c>
      <c r="J551" t="s">
        <v>28</v>
      </c>
      <c r="K551" t="s">
        <v>48</v>
      </c>
      <c r="L551" t="s">
        <v>1746</v>
      </c>
      <c r="M551" t="s">
        <v>31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32</v>
      </c>
      <c r="U551" t="s">
        <v>33</v>
      </c>
      <c r="V551" t="s">
        <v>2834</v>
      </c>
      <c r="W551" t="s">
        <v>2834</v>
      </c>
      <c r="X551" t="s">
        <v>2834</v>
      </c>
      <c r="Y551" t="s">
        <v>2834</v>
      </c>
      <c r="Z551">
        <v>2</v>
      </c>
      <c r="AA551" t="s">
        <v>2789</v>
      </c>
      <c r="AB551">
        <v>0.1</v>
      </c>
      <c r="AC551" t="s">
        <v>2794</v>
      </c>
      <c r="AD551">
        <v>10271.529</v>
      </c>
      <c r="AE551">
        <v>1999.2890000000007</v>
      </c>
      <c r="AF551">
        <v>0.19464375751652949</v>
      </c>
      <c r="AG551" t="s">
        <v>2829</v>
      </c>
      <c r="AH551">
        <v>2025</v>
      </c>
      <c r="AI551" t="s">
        <v>2835</v>
      </c>
    </row>
    <row r="552" spans="1:35">
      <c r="A552" t="s">
        <v>1747</v>
      </c>
      <c r="B552">
        <v>45506</v>
      </c>
      <c r="C552">
        <v>45514</v>
      </c>
      <c r="D552" t="s">
        <v>1748</v>
      </c>
      <c r="E552" t="s">
        <v>36</v>
      </c>
      <c r="F552" t="s">
        <v>95</v>
      </c>
      <c r="G552" t="s">
        <v>38</v>
      </c>
      <c r="H552" t="s">
        <v>39</v>
      </c>
      <c r="I552" t="s">
        <v>40</v>
      </c>
      <c r="J552" t="s">
        <v>74</v>
      </c>
      <c r="K552" t="s">
        <v>75</v>
      </c>
      <c r="L552" t="s">
        <v>1749</v>
      </c>
      <c r="M552" t="s">
        <v>59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32</v>
      </c>
      <c r="U552" t="s">
        <v>33</v>
      </c>
      <c r="V552" t="s">
        <v>2834</v>
      </c>
      <c r="W552" t="s">
        <v>2834</v>
      </c>
      <c r="X552" t="s">
        <v>2834</v>
      </c>
      <c r="Y552" t="s">
        <v>2834</v>
      </c>
      <c r="Z552">
        <v>8</v>
      </c>
      <c r="AA552" t="s">
        <v>2789</v>
      </c>
      <c r="AB552">
        <v>0.2</v>
      </c>
      <c r="AC552" t="s">
        <v>2794</v>
      </c>
      <c r="AD552">
        <v>10206.912</v>
      </c>
      <c r="AE552">
        <v>3442.3820000000005</v>
      </c>
      <c r="AF552">
        <v>0.33725988820125036</v>
      </c>
      <c r="AG552" t="s">
        <v>2827</v>
      </c>
      <c r="AH552">
        <v>2024</v>
      </c>
      <c r="AI552" t="s">
        <v>2835</v>
      </c>
    </row>
    <row r="553" spans="1:35">
      <c r="A553" t="s">
        <v>1750</v>
      </c>
      <c r="B553">
        <v>45349</v>
      </c>
      <c r="C553">
        <v>45349</v>
      </c>
      <c r="D553" t="s">
        <v>1751</v>
      </c>
      <c r="E553" t="s">
        <v>132</v>
      </c>
      <c r="F553" t="s">
        <v>24</v>
      </c>
      <c r="G553" t="s">
        <v>38</v>
      </c>
      <c r="H553" t="s">
        <v>228</v>
      </c>
      <c r="I553" t="s">
        <v>229</v>
      </c>
      <c r="J553" t="s">
        <v>41</v>
      </c>
      <c r="K553" t="s">
        <v>66</v>
      </c>
      <c r="L553" t="s">
        <v>1752</v>
      </c>
      <c r="M553" t="s">
        <v>31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32</v>
      </c>
      <c r="U553" t="s">
        <v>33</v>
      </c>
      <c r="V553" t="s">
        <v>2834</v>
      </c>
      <c r="W553" t="s">
        <v>2834</v>
      </c>
      <c r="X553" t="s">
        <v>2834</v>
      </c>
      <c r="Y553" t="s">
        <v>2834</v>
      </c>
      <c r="Z553">
        <v>0</v>
      </c>
      <c r="AA553" t="s">
        <v>2789</v>
      </c>
      <c r="AB553">
        <v>0.15</v>
      </c>
      <c r="AC553" t="s">
        <v>2794</v>
      </c>
      <c r="AD553">
        <v>8027.6295</v>
      </c>
      <c r="AE553">
        <v>2531.5394999999999</v>
      </c>
      <c r="AF553">
        <v>0.31535330572991688</v>
      </c>
      <c r="AG553" t="s">
        <v>2821</v>
      </c>
      <c r="AH553">
        <v>2024</v>
      </c>
      <c r="AI553" t="s">
        <v>2835</v>
      </c>
    </row>
    <row r="554" spans="1:35">
      <c r="A554" t="s">
        <v>1753</v>
      </c>
      <c r="B554">
        <v>45681</v>
      </c>
      <c r="C554">
        <v>45687</v>
      </c>
      <c r="D554" t="s">
        <v>1754</v>
      </c>
      <c r="E554" t="s">
        <v>62</v>
      </c>
      <c r="F554" t="s">
        <v>90</v>
      </c>
      <c r="G554" t="s">
        <v>38</v>
      </c>
      <c r="H554" t="s">
        <v>99</v>
      </c>
      <c r="I554" t="s">
        <v>100</v>
      </c>
      <c r="J554" t="s">
        <v>74</v>
      </c>
      <c r="K554" t="s">
        <v>80</v>
      </c>
      <c r="L554" t="s">
        <v>1755</v>
      </c>
      <c r="M554" t="s">
        <v>59</v>
      </c>
      <c r="N554">
        <v>8</v>
      </c>
      <c r="O554">
        <v>312.52999999999997</v>
      </c>
      <c r="P554" t="s">
        <v>463</v>
      </c>
      <c r="Q554">
        <v>1875.18</v>
      </c>
      <c r="R554">
        <v>1579.17</v>
      </c>
      <c r="S554">
        <v>296.01</v>
      </c>
      <c r="T554" t="s">
        <v>32</v>
      </c>
      <c r="U554" t="s">
        <v>33</v>
      </c>
      <c r="V554" t="s">
        <v>2834</v>
      </c>
      <c r="W554" t="s">
        <v>2834</v>
      </c>
      <c r="X554" t="s">
        <v>2834</v>
      </c>
      <c r="Y554" t="s">
        <v>2834</v>
      </c>
      <c r="Z554">
        <v>6</v>
      </c>
      <c r="AA554" t="s">
        <v>2789</v>
      </c>
      <c r="AB554">
        <v>0.7</v>
      </c>
      <c r="AC554" t="s">
        <v>2797</v>
      </c>
      <c r="AD554">
        <v>750.072</v>
      </c>
      <c r="AE554">
        <v>-829.09800000000007</v>
      </c>
      <c r="AF554">
        <v>-1.1053578856429784</v>
      </c>
      <c r="AG554" t="s">
        <v>2820</v>
      </c>
      <c r="AH554">
        <v>2025</v>
      </c>
      <c r="AI554" t="s">
        <v>2836</v>
      </c>
    </row>
    <row r="555" spans="1:35">
      <c r="A555" t="s">
        <v>1756</v>
      </c>
      <c r="B555">
        <v>45772</v>
      </c>
      <c r="C555">
        <v>45775</v>
      </c>
      <c r="D555" t="s">
        <v>1757</v>
      </c>
      <c r="E555" t="s">
        <v>128</v>
      </c>
      <c r="F555" t="s">
        <v>37</v>
      </c>
      <c r="G555" t="s">
        <v>63</v>
      </c>
      <c r="H555" t="s">
        <v>180</v>
      </c>
      <c r="I555" t="s">
        <v>181</v>
      </c>
      <c r="J555" t="s">
        <v>28</v>
      </c>
      <c r="K555" t="s">
        <v>124</v>
      </c>
      <c r="L555" t="s">
        <v>1758</v>
      </c>
      <c r="M555" t="s">
        <v>50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32</v>
      </c>
      <c r="U555" t="s">
        <v>33</v>
      </c>
      <c r="V555" t="s">
        <v>2834</v>
      </c>
      <c r="W555" t="s">
        <v>2834</v>
      </c>
      <c r="X555" t="s">
        <v>2834</v>
      </c>
      <c r="Y555" t="s">
        <v>2834</v>
      </c>
      <c r="Z555">
        <v>3</v>
      </c>
      <c r="AA555" t="s">
        <v>2789</v>
      </c>
      <c r="AB555">
        <v>0.25</v>
      </c>
      <c r="AC555" t="s">
        <v>2794</v>
      </c>
      <c r="AD555">
        <v>8735.2425000000003</v>
      </c>
      <c r="AE555">
        <v>2115.1725000000006</v>
      </c>
      <c r="AF555">
        <v>0.24214239043735769</v>
      </c>
      <c r="AG555" t="s">
        <v>2823</v>
      </c>
      <c r="AH555">
        <v>2025</v>
      </c>
      <c r="AI555" t="s">
        <v>2835</v>
      </c>
    </row>
    <row r="556" spans="1:35">
      <c r="A556" t="s">
        <v>1759</v>
      </c>
      <c r="B556">
        <v>45577</v>
      </c>
      <c r="C556">
        <v>45582</v>
      </c>
      <c r="D556" t="s">
        <v>1760</v>
      </c>
      <c r="E556" t="s">
        <v>53</v>
      </c>
      <c r="F556" t="s">
        <v>24</v>
      </c>
      <c r="G556" t="s">
        <v>2791</v>
      </c>
      <c r="H556" t="s">
        <v>228</v>
      </c>
      <c r="I556" t="s">
        <v>229</v>
      </c>
      <c r="J556" t="s">
        <v>41</v>
      </c>
      <c r="K556" t="s">
        <v>57</v>
      </c>
      <c r="L556" t="s">
        <v>1761</v>
      </c>
      <c r="M556" t="s">
        <v>59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32</v>
      </c>
      <c r="U556" t="s">
        <v>33</v>
      </c>
      <c r="V556" t="s">
        <v>2834</v>
      </c>
      <c r="W556" t="s">
        <v>2834</v>
      </c>
      <c r="X556" t="s">
        <v>2834</v>
      </c>
      <c r="Y556" t="s">
        <v>2834</v>
      </c>
      <c r="Z556">
        <v>5</v>
      </c>
      <c r="AA556" t="s">
        <v>2789</v>
      </c>
      <c r="AB556">
        <v>0.05</v>
      </c>
      <c r="AC556" t="s">
        <v>2794</v>
      </c>
      <c r="AD556">
        <v>4070.636</v>
      </c>
      <c r="AE556">
        <v>1239.0160000000001</v>
      </c>
      <c r="AF556">
        <v>0.30437897173807732</v>
      </c>
      <c r="AG556" t="s">
        <v>2829</v>
      </c>
      <c r="AH556">
        <v>2024</v>
      </c>
      <c r="AI556" t="s">
        <v>2838</v>
      </c>
    </row>
    <row r="557" spans="1:35">
      <c r="A557" t="s">
        <v>1762</v>
      </c>
      <c r="B557">
        <v>45692</v>
      </c>
      <c r="C557">
        <v>45698</v>
      </c>
      <c r="D557" t="s">
        <v>1763</v>
      </c>
      <c r="E557" t="s">
        <v>62</v>
      </c>
      <c r="F557" t="s">
        <v>37</v>
      </c>
      <c r="G557" t="s">
        <v>54</v>
      </c>
      <c r="H557" t="s">
        <v>55</v>
      </c>
      <c r="I557" t="s">
        <v>56</v>
      </c>
      <c r="J557" t="s">
        <v>28</v>
      </c>
      <c r="K557" t="s">
        <v>124</v>
      </c>
      <c r="L557" t="s">
        <v>1764</v>
      </c>
      <c r="M557" t="s">
        <v>59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32</v>
      </c>
      <c r="U557" t="s">
        <v>33</v>
      </c>
      <c r="V557" t="s">
        <v>2834</v>
      </c>
      <c r="W557" t="s">
        <v>2834</v>
      </c>
      <c r="X557" t="s">
        <v>2834</v>
      </c>
      <c r="Y557" t="s">
        <v>2834</v>
      </c>
      <c r="Z557">
        <v>6</v>
      </c>
      <c r="AA557" t="s">
        <v>2789</v>
      </c>
      <c r="AB557">
        <v>0.05</v>
      </c>
      <c r="AC557" t="s">
        <v>2794</v>
      </c>
      <c r="AD557">
        <v>5943.9599999999991</v>
      </c>
      <c r="AE557">
        <v>2339.8199999999993</v>
      </c>
      <c r="AF557">
        <v>0.39364665980255581</v>
      </c>
      <c r="AG557" t="s">
        <v>2821</v>
      </c>
      <c r="AH557">
        <v>2025</v>
      </c>
      <c r="AI557" t="s">
        <v>2835</v>
      </c>
    </row>
    <row r="558" spans="1:35">
      <c r="A558" t="s">
        <v>1765</v>
      </c>
      <c r="B558">
        <v>45466</v>
      </c>
      <c r="C558">
        <v>45472</v>
      </c>
      <c r="D558" t="s">
        <v>1766</v>
      </c>
      <c r="E558" t="s">
        <v>79</v>
      </c>
      <c r="F558" t="s">
        <v>24</v>
      </c>
      <c r="G558" t="s">
        <v>25</v>
      </c>
      <c r="H558" t="s">
        <v>236</v>
      </c>
      <c r="I558" t="s">
        <v>237</v>
      </c>
      <c r="J558" t="s">
        <v>41</v>
      </c>
      <c r="K558" t="s">
        <v>42</v>
      </c>
      <c r="L558" t="s">
        <v>1767</v>
      </c>
      <c r="M558" t="s">
        <v>50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32</v>
      </c>
      <c r="U558" t="s">
        <v>103</v>
      </c>
      <c r="V558" t="s">
        <v>2834</v>
      </c>
      <c r="W558" t="s">
        <v>2834</v>
      </c>
      <c r="X558" t="s">
        <v>2834</v>
      </c>
      <c r="Y558" t="s">
        <v>2834</v>
      </c>
      <c r="Z558">
        <v>6</v>
      </c>
      <c r="AA558" t="s">
        <v>2789</v>
      </c>
      <c r="AB558">
        <v>0</v>
      </c>
      <c r="AC558" t="s">
        <v>2794</v>
      </c>
      <c r="AD558">
        <v>4426.66</v>
      </c>
      <c r="AE558">
        <v>1391.46</v>
      </c>
      <c r="AF558">
        <v>0.31433631677156143</v>
      </c>
      <c r="AG558" t="s">
        <v>2825</v>
      </c>
      <c r="AH558">
        <v>2024</v>
      </c>
      <c r="AI558" t="s">
        <v>2835</v>
      </c>
    </row>
    <row r="559" spans="1:35">
      <c r="A559" t="s">
        <v>1768</v>
      </c>
      <c r="B559">
        <v>45420</v>
      </c>
      <c r="C559">
        <v>45426</v>
      </c>
      <c r="D559" t="s">
        <v>1769</v>
      </c>
      <c r="E559" t="s">
        <v>71</v>
      </c>
      <c r="F559" t="s">
        <v>95</v>
      </c>
      <c r="G559" t="s">
        <v>25</v>
      </c>
      <c r="H559" t="s">
        <v>236</v>
      </c>
      <c r="I559" t="s">
        <v>237</v>
      </c>
      <c r="J559" t="s">
        <v>74</v>
      </c>
      <c r="K559" t="s">
        <v>171</v>
      </c>
      <c r="L559" t="s">
        <v>1770</v>
      </c>
      <c r="M559" t="s">
        <v>50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32</v>
      </c>
      <c r="U559" t="s">
        <v>68</v>
      </c>
      <c r="V559" t="s">
        <v>2834</v>
      </c>
      <c r="W559" t="s">
        <v>2834</v>
      </c>
      <c r="X559" t="s">
        <v>2834</v>
      </c>
      <c r="Y559" t="s">
        <v>2834</v>
      </c>
      <c r="Z559">
        <v>6</v>
      </c>
      <c r="AA559" t="s">
        <v>2789</v>
      </c>
      <c r="AB559">
        <v>0.05</v>
      </c>
      <c r="AC559" t="s">
        <v>2794</v>
      </c>
      <c r="AD559">
        <v>32228.882999999998</v>
      </c>
      <c r="AE559">
        <v>7257.5229999999974</v>
      </c>
      <c r="AF559">
        <v>0.22518692317074712</v>
      </c>
      <c r="AG559" t="s">
        <v>2824</v>
      </c>
      <c r="AH559">
        <v>2024</v>
      </c>
      <c r="AI559" t="s">
        <v>2835</v>
      </c>
    </row>
    <row r="560" spans="1:35">
      <c r="A560" t="s">
        <v>1771</v>
      </c>
      <c r="B560">
        <v>45904</v>
      </c>
      <c r="C560">
        <v>45904</v>
      </c>
      <c r="D560" t="s">
        <v>1772</v>
      </c>
      <c r="E560" t="s">
        <v>89</v>
      </c>
      <c r="F560" t="s">
        <v>90</v>
      </c>
      <c r="G560" t="s">
        <v>25</v>
      </c>
      <c r="H560" t="s">
        <v>122</v>
      </c>
      <c r="I560" t="s">
        <v>123</v>
      </c>
      <c r="J560" t="s">
        <v>74</v>
      </c>
      <c r="K560" t="s">
        <v>274</v>
      </c>
      <c r="L560" t="s">
        <v>1773</v>
      </c>
      <c r="M560" t="s">
        <v>50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32</v>
      </c>
      <c r="U560" t="s">
        <v>33</v>
      </c>
      <c r="V560" t="s">
        <v>2834</v>
      </c>
      <c r="W560" t="s">
        <v>2834</v>
      </c>
      <c r="X560" t="s">
        <v>2834</v>
      </c>
      <c r="Y560" t="s">
        <v>2834</v>
      </c>
      <c r="Z560">
        <v>0</v>
      </c>
      <c r="AA560" t="s">
        <v>2789</v>
      </c>
      <c r="AB560">
        <v>0.2</v>
      </c>
      <c r="AC560" t="s">
        <v>2794</v>
      </c>
      <c r="AD560">
        <v>19711.68</v>
      </c>
      <c r="AE560">
        <v>5249.880000000001</v>
      </c>
      <c r="AF560">
        <v>0.26633346320557155</v>
      </c>
      <c r="AG560" t="s">
        <v>2828</v>
      </c>
      <c r="AH560">
        <v>2025</v>
      </c>
      <c r="AI560" t="s">
        <v>2835</v>
      </c>
    </row>
    <row r="561" spans="1:35">
      <c r="A561" t="s">
        <v>1774</v>
      </c>
      <c r="B561">
        <v>45930</v>
      </c>
      <c r="C561">
        <v>45937</v>
      </c>
      <c r="D561" t="s">
        <v>1775</v>
      </c>
      <c r="E561" t="s">
        <v>162</v>
      </c>
      <c r="F561" t="s">
        <v>90</v>
      </c>
      <c r="G561" t="s">
        <v>38</v>
      </c>
      <c r="H561" t="s">
        <v>145</v>
      </c>
      <c r="I561" t="s">
        <v>146</v>
      </c>
      <c r="J561" t="s">
        <v>74</v>
      </c>
      <c r="K561" t="s">
        <v>80</v>
      </c>
      <c r="L561" t="s">
        <v>1776</v>
      </c>
      <c r="M561" t="s">
        <v>31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32</v>
      </c>
      <c r="U561" t="s">
        <v>103</v>
      </c>
      <c r="V561" t="s">
        <v>2834</v>
      </c>
      <c r="W561" t="s">
        <v>2834</v>
      </c>
      <c r="X561" t="s">
        <v>2834</v>
      </c>
      <c r="Y561" t="s">
        <v>2834</v>
      </c>
      <c r="Z561">
        <v>7</v>
      </c>
      <c r="AA561" t="s">
        <v>2789</v>
      </c>
      <c r="AB561">
        <v>0.1</v>
      </c>
      <c r="AC561" t="s">
        <v>2794</v>
      </c>
      <c r="AD561">
        <v>14750.190000000002</v>
      </c>
      <c r="AE561">
        <v>5267.6100000000024</v>
      </c>
      <c r="AF561">
        <v>0.35712150148574368</v>
      </c>
      <c r="AG561" t="s">
        <v>2828</v>
      </c>
      <c r="AH561">
        <v>2025</v>
      </c>
      <c r="AI561" t="s">
        <v>2835</v>
      </c>
    </row>
    <row r="562" spans="1:35">
      <c r="A562" t="s">
        <v>1777</v>
      </c>
      <c r="B562">
        <v>45307</v>
      </c>
      <c r="C562">
        <v>45313</v>
      </c>
      <c r="D562" t="s">
        <v>1778</v>
      </c>
      <c r="E562" t="s">
        <v>53</v>
      </c>
      <c r="F562" t="s">
        <v>24</v>
      </c>
      <c r="G562" t="s">
        <v>63</v>
      </c>
      <c r="H562" t="s">
        <v>190</v>
      </c>
      <c r="I562" t="s">
        <v>191</v>
      </c>
      <c r="J562" t="s">
        <v>28</v>
      </c>
      <c r="K562" t="s">
        <v>124</v>
      </c>
      <c r="L562" t="s">
        <v>1779</v>
      </c>
      <c r="M562" t="s">
        <v>59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32</v>
      </c>
      <c r="U562" t="s">
        <v>68</v>
      </c>
      <c r="V562" t="s">
        <v>2834</v>
      </c>
      <c r="W562" t="s">
        <v>2834</v>
      </c>
      <c r="X562" t="s">
        <v>2834</v>
      </c>
      <c r="Y562" t="s">
        <v>2834</v>
      </c>
      <c r="Z562">
        <v>6</v>
      </c>
      <c r="AA562" t="s">
        <v>2789</v>
      </c>
      <c r="AB562">
        <v>0</v>
      </c>
      <c r="AC562" t="s">
        <v>2794</v>
      </c>
      <c r="AD562">
        <v>1130.1199999999999</v>
      </c>
      <c r="AE562">
        <v>281.49999999999989</v>
      </c>
      <c r="AF562">
        <v>0.249088592361873</v>
      </c>
      <c r="AG562" t="s">
        <v>2820</v>
      </c>
      <c r="AH562">
        <v>2024</v>
      </c>
      <c r="AI562" t="s">
        <v>2835</v>
      </c>
    </row>
    <row r="563" spans="1:35">
      <c r="A563" t="s">
        <v>1780</v>
      </c>
      <c r="B563">
        <v>45852</v>
      </c>
      <c r="C563">
        <v>45856</v>
      </c>
      <c r="D563" t="s">
        <v>1781</v>
      </c>
      <c r="E563" t="s">
        <v>89</v>
      </c>
      <c r="F563" t="s">
        <v>24</v>
      </c>
      <c r="G563" t="s">
        <v>25</v>
      </c>
      <c r="H563" t="s">
        <v>122</v>
      </c>
      <c r="I563" t="s">
        <v>123</v>
      </c>
      <c r="J563" t="s">
        <v>74</v>
      </c>
      <c r="K563" t="s">
        <v>80</v>
      </c>
      <c r="L563" t="s">
        <v>1782</v>
      </c>
      <c r="M563" t="s">
        <v>50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111</v>
      </c>
      <c r="U563" t="s">
        <v>103</v>
      </c>
      <c r="V563" t="s">
        <v>2834</v>
      </c>
      <c r="W563" t="s">
        <v>2834</v>
      </c>
      <c r="X563" t="s">
        <v>2834</v>
      </c>
      <c r="Y563" t="s">
        <v>2834</v>
      </c>
      <c r="Z563">
        <v>4</v>
      </c>
      <c r="AA563" t="s">
        <v>2789</v>
      </c>
      <c r="AB563">
        <v>0</v>
      </c>
      <c r="AC563" t="s">
        <v>2794</v>
      </c>
      <c r="AD563">
        <v>2900.88</v>
      </c>
      <c r="AE563">
        <v>509.0300000000002</v>
      </c>
      <c r="AF563">
        <v>0.17547433882132324</v>
      </c>
      <c r="AG563" t="s">
        <v>2826</v>
      </c>
      <c r="AH563">
        <v>2025</v>
      </c>
      <c r="AI563" t="s">
        <v>2835</v>
      </c>
    </row>
    <row r="564" spans="1:35">
      <c r="A564" t="s">
        <v>1783</v>
      </c>
      <c r="B564">
        <v>45422</v>
      </c>
      <c r="C564">
        <v>45428</v>
      </c>
      <c r="D564" t="s">
        <v>1784</v>
      </c>
      <c r="E564" t="s">
        <v>23</v>
      </c>
      <c r="F564" t="s">
        <v>24</v>
      </c>
      <c r="G564" t="s">
        <v>25</v>
      </c>
      <c r="H564" t="s">
        <v>122</v>
      </c>
      <c r="I564" t="s">
        <v>123</v>
      </c>
      <c r="J564" t="s">
        <v>28</v>
      </c>
      <c r="K564" t="s">
        <v>153</v>
      </c>
      <c r="L564" t="s">
        <v>1785</v>
      </c>
      <c r="M564" t="s">
        <v>44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155</v>
      </c>
      <c r="U564" t="s">
        <v>103</v>
      </c>
      <c r="V564" t="s">
        <v>2834</v>
      </c>
      <c r="W564" t="s">
        <v>2834</v>
      </c>
      <c r="X564" t="s">
        <v>2834</v>
      </c>
      <c r="Y564" t="s">
        <v>2834</v>
      </c>
      <c r="Z564">
        <v>6</v>
      </c>
      <c r="AA564" t="s">
        <v>2789</v>
      </c>
      <c r="AB564">
        <v>0.2</v>
      </c>
      <c r="AC564" t="s">
        <v>2794</v>
      </c>
      <c r="AD564">
        <v>680.62400000000014</v>
      </c>
      <c r="AE564">
        <v>217.13400000000013</v>
      </c>
      <c r="AF564">
        <v>0.31902195632243363</v>
      </c>
      <c r="AG564" t="s">
        <v>2824</v>
      </c>
      <c r="AH564">
        <v>2024</v>
      </c>
      <c r="AI564" t="s">
        <v>2835</v>
      </c>
    </row>
    <row r="565" spans="1:35">
      <c r="A565" t="s">
        <v>1786</v>
      </c>
      <c r="B565">
        <v>45418</v>
      </c>
      <c r="C565">
        <v>45424</v>
      </c>
      <c r="D565" t="s">
        <v>1787</v>
      </c>
      <c r="E565" t="s">
        <v>53</v>
      </c>
      <c r="F565" t="s">
        <v>90</v>
      </c>
      <c r="G565" t="s">
        <v>63</v>
      </c>
      <c r="H565" t="s">
        <v>190</v>
      </c>
      <c r="I565" t="s">
        <v>191</v>
      </c>
      <c r="J565" t="s">
        <v>41</v>
      </c>
      <c r="K565" t="s">
        <v>42</v>
      </c>
      <c r="L565" t="s">
        <v>1788</v>
      </c>
      <c r="M565" t="s">
        <v>59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111</v>
      </c>
      <c r="U565" t="s">
        <v>68</v>
      </c>
      <c r="V565" t="s">
        <v>2834</v>
      </c>
      <c r="W565" t="s">
        <v>2834</v>
      </c>
      <c r="X565" t="s">
        <v>2834</v>
      </c>
      <c r="Y565" t="s">
        <v>2834</v>
      </c>
      <c r="Z565">
        <v>6</v>
      </c>
      <c r="AA565" t="s">
        <v>2789</v>
      </c>
      <c r="AB565">
        <v>0.2</v>
      </c>
      <c r="AC565" t="s">
        <v>2794</v>
      </c>
      <c r="AD565">
        <v>5694.9840000000004</v>
      </c>
      <c r="AE565">
        <v>1076.6540000000005</v>
      </c>
      <c r="AF565">
        <v>0.1890530333360024</v>
      </c>
      <c r="AG565" t="s">
        <v>2824</v>
      </c>
      <c r="AH565">
        <v>2024</v>
      </c>
      <c r="AI565" t="s">
        <v>2835</v>
      </c>
    </row>
    <row r="566" spans="1:35">
      <c r="A566" t="s">
        <v>1789</v>
      </c>
      <c r="B566">
        <v>45606</v>
      </c>
      <c r="C566">
        <v>45610</v>
      </c>
      <c r="D566" t="s">
        <v>1790</v>
      </c>
      <c r="E566" t="s">
        <v>132</v>
      </c>
      <c r="F566" t="s">
        <v>90</v>
      </c>
      <c r="G566" t="s">
        <v>54</v>
      </c>
      <c r="H566" t="s">
        <v>84</v>
      </c>
      <c r="I566" t="s">
        <v>85</v>
      </c>
      <c r="J566" t="s">
        <v>41</v>
      </c>
      <c r="K566" t="s">
        <v>42</v>
      </c>
      <c r="L566" t="s">
        <v>1791</v>
      </c>
      <c r="M566" t="s">
        <v>50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32</v>
      </c>
      <c r="U566" t="s">
        <v>33</v>
      </c>
      <c r="V566" t="s">
        <v>2834</v>
      </c>
      <c r="W566" t="s">
        <v>2834</v>
      </c>
      <c r="X566" t="s">
        <v>2834</v>
      </c>
      <c r="Y566" t="s">
        <v>2834</v>
      </c>
      <c r="Z566">
        <v>4</v>
      </c>
      <c r="AA566" t="s">
        <v>2789</v>
      </c>
      <c r="AB566">
        <v>0.2</v>
      </c>
      <c r="AC566" t="s">
        <v>2794</v>
      </c>
      <c r="AD566">
        <v>1474.1440000000002</v>
      </c>
      <c r="AE566">
        <v>505.6840000000002</v>
      </c>
      <c r="AF566">
        <v>0.34303568715132315</v>
      </c>
      <c r="AG566" t="s">
        <v>2830</v>
      </c>
      <c r="AH566">
        <v>2024</v>
      </c>
      <c r="AI566" t="s">
        <v>2835</v>
      </c>
    </row>
    <row r="567" spans="1:35">
      <c r="A567" t="s">
        <v>1792</v>
      </c>
      <c r="B567">
        <v>45876</v>
      </c>
      <c r="C567">
        <v>45882</v>
      </c>
      <c r="D567" t="s">
        <v>1793</v>
      </c>
      <c r="E567" t="s">
        <v>36</v>
      </c>
      <c r="F567" t="s">
        <v>90</v>
      </c>
      <c r="G567" t="s">
        <v>25</v>
      </c>
      <c r="H567" t="s">
        <v>350</v>
      </c>
      <c r="I567" t="s">
        <v>351</v>
      </c>
      <c r="J567" t="s">
        <v>74</v>
      </c>
      <c r="K567" t="s">
        <v>171</v>
      </c>
      <c r="L567" t="s">
        <v>1794</v>
      </c>
      <c r="M567" t="s">
        <v>59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102</v>
      </c>
      <c r="U567" t="s">
        <v>68</v>
      </c>
      <c r="V567" t="s">
        <v>2834</v>
      </c>
      <c r="W567" t="s">
        <v>2834</v>
      </c>
      <c r="X567" t="s">
        <v>2834</v>
      </c>
      <c r="Y567" t="s">
        <v>2834</v>
      </c>
      <c r="Z567">
        <v>6</v>
      </c>
      <c r="AA567" t="s">
        <v>2789</v>
      </c>
      <c r="AB567">
        <v>0.2</v>
      </c>
      <c r="AC567" t="s">
        <v>2794</v>
      </c>
      <c r="AD567">
        <v>9224.9279999999999</v>
      </c>
      <c r="AE567">
        <v>2219.7280000000001</v>
      </c>
      <c r="AF567">
        <v>0.24062279944081949</v>
      </c>
      <c r="AG567" t="s">
        <v>2827</v>
      </c>
      <c r="AH567">
        <v>2025</v>
      </c>
      <c r="AI567" t="s">
        <v>2835</v>
      </c>
    </row>
    <row r="568" spans="1:35">
      <c r="A568" t="s">
        <v>1795</v>
      </c>
      <c r="B568">
        <v>45515</v>
      </c>
      <c r="C568">
        <v>45523</v>
      </c>
      <c r="D568" t="s">
        <v>1796</v>
      </c>
      <c r="E568" t="s">
        <v>132</v>
      </c>
      <c r="F568" t="s">
        <v>37</v>
      </c>
      <c r="G568" t="s">
        <v>63</v>
      </c>
      <c r="H568" t="s">
        <v>64</v>
      </c>
      <c r="I568" t="s">
        <v>65</v>
      </c>
      <c r="J568" t="s">
        <v>28</v>
      </c>
      <c r="K568" t="s">
        <v>29</v>
      </c>
      <c r="L568" t="s">
        <v>1797</v>
      </c>
      <c r="M568" t="s">
        <v>44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155</v>
      </c>
      <c r="U568" t="s">
        <v>103</v>
      </c>
      <c r="V568" t="s">
        <v>2834</v>
      </c>
      <c r="W568" t="s">
        <v>2834</v>
      </c>
      <c r="X568" t="s">
        <v>2834</v>
      </c>
      <c r="Y568" t="s">
        <v>2834</v>
      </c>
      <c r="Z568">
        <v>8</v>
      </c>
      <c r="AA568" t="s">
        <v>2789</v>
      </c>
      <c r="AB568">
        <v>0.1</v>
      </c>
      <c r="AC568" t="s">
        <v>2794</v>
      </c>
      <c r="AD568">
        <v>4712.2020000000002</v>
      </c>
      <c r="AE568">
        <v>860.29200000000037</v>
      </c>
      <c r="AF568">
        <v>0.18256687637754077</v>
      </c>
      <c r="AG568" t="s">
        <v>2827</v>
      </c>
      <c r="AH568">
        <v>2024</v>
      </c>
      <c r="AI568" t="s">
        <v>2835</v>
      </c>
    </row>
    <row r="569" spans="1:35">
      <c r="A569" t="s">
        <v>1798</v>
      </c>
      <c r="B569">
        <v>45328</v>
      </c>
      <c r="C569">
        <v>45332</v>
      </c>
      <c r="D569" t="s">
        <v>1799</v>
      </c>
      <c r="E569" t="s">
        <v>53</v>
      </c>
      <c r="F569" t="s">
        <v>95</v>
      </c>
      <c r="G569" t="s">
        <v>25</v>
      </c>
      <c r="H569" t="s">
        <v>136</v>
      </c>
      <c r="I569" t="s">
        <v>137</v>
      </c>
      <c r="J569" t="s">
        <v>41</v>
      </c>
      <c r="K569" t="s">
        <v>57</v>
      </c>
      <c r="L569" t="s">
        <v>597</v>
      </c>
      <c r="M569" t="s">
        <v>44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32</v>
      </c>
      <c r="U569" t="s">
        <v>33</v>
      </c>
      <c r="V569" t="s">
        <v>2834</v>
      </c>
      <c r="W569" t="s">
        <v>2834</v>
      </c>
      <c r="X569" t="s">
        <v>2834</v>
      </c>
      <c r="Y569" t="s">
        <v>2834</v>
      </c>
      <c r="Z569">
        <v>4</v>
      </c>
      <c r="AA569" t="s">
        <v>2789</v>
      </c>
      <c r="AB569">
        <v>0.05</v>
      </c>
      <c r="AC569" t="s">
        <v>2794</v>
      </c>
      <c r="AD569">
        <v>1305.357</v>
      </c>
      <c r="AE569">
        <v>573.46699999999998</v>
      </c>
      <c r="AF569">
        <v>0.4393181328939133</v>
      </c>
      <c r="AG569" t="s">
        <v>2821</v>
      </c>
      <c r="AH569">
        <v>2024</v>
      </c>
      <c r="AI569" t="s">
        <v>2835</v>
      </c>
    </row>
    <row r="570" spans="1:35">
      <c r="A570" t="s">
        <v>1800</v>
      </c>
      <c r="B570">
        <v>45312</v>
      </c>
      <c r="C570">
        <v>45315</v>
      </c>
      <c r="D570" t="s">
        <v>1801</v>
      </c>
      <c r="E570" t="s">
        <v>264</v>
      </c>
      <c r="F570" t="s">
        <v>90</v>
      </c>
      <c r="G570" t="s">
        <v>25</v>
      </c>
      <c r="H570" t="s">
        <v>122</v>
      </c>
      <c r="I570" t="s">
        <v>123</v>
      </c>
      <c r="J570" t="s">
        <v>74</v>
      </c>
      <c r="K570" t="s">
        <v>274</v>
      </c>
      <c r="L570" t="s">
        <v>1802</v>
      </c>
      <c r="M570" t="s">
        <v>44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32</v>
      </c>
      <c r="U570" t="s">
        <v>33</v>
      </c>
      <c r="V570" t="s">
        <v>2834</v>
      </c>
      <c r="W570" t="s">
        <v>2834</v>
      </c>
      <c r="X570" t="s">
        <v>2834</v>
      </c>
      <c r="Y570" t="s">
        <v>2834</v>
      </c>
      <c r="Z570">
        <v>3</v>
      </c>
      <c r="AA570" t="s">
        <v>2789</v>
      </c>
      <c r="AB570">
        <v>0.25</v>
      </c>
      <c r="AC570" t="s">
        <v>2794</v>
      </c>
      <c r="AD570">
        <v>2854.7250000000004</v>
      </c>
      <c r="AE570">
        <v>886.60500000000047</v>
      </c>
      <c r="AF570">
        <v>0.31057457373302172</v>
      </c>
      <c r="AG570" t="s">
        <v>2820</v>
      </c>
      <c r="AH570">
        <v>2024</v>
      </c>
      <c r="AI570" t="s">
        <v>2835</v>
      </c>
    </row>
    <row r="571" spans="1:35">
      <c r="A571" t="s">
        <v>1803</v>
      </c>
      <c r="B571">
        <v>45908</v>
      </c>
      <c r="C571">
        <v>45910</v>
      </c>
      <c r="D571" t="s">
        <v>1804</v>
      </c>
      <c r="E571" t="s">
        <v>118</v>
      </c>
      <c r="F571" t="s">
        <v>95</v>
      </c>
      <c r="G571" t="s">
        <v>63</v>
      </c>
      <c r="H571" t="s">
        <v>64</v>
      </c>
      <c r="I571" t="s">
        <v>65</v>
      </c>
      <c r="J571" t="s">
        <v>41</v>
      </c>
      <c r="K571" t="s">
        <v>57</v>
      </c>
      <c r="L571" t="s">
        <v>1805</v>
      </c>
      <c r="M571" t="s">
        <v>59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102</v>
      </c>
      <c r="U571" t="s">
        <v>103</v>
      </c>
      <c r="V571" t="s">
        <v>2834</v>
      </c>
      <c r="W571" t="s">
        <v>2834</v>
      </c>
      <c r="X571" t="s">
        <v>2834</v>
      </c>
      <c r="Y571" t="s">
        <v>2834</v>
      </c>
      <c r="Z571">
        <v>2</v>
      </c>
      <c r="AA571" t="s">
        <v>2789</v>
      </c>
      <c r="AB571">
        <v>0.25</v>
      </c>
      <c r="AC571" t="s">
        <v>2794</v>
      </c>
      <c r="AD571">
        <v>14630.264999999999</v>
      </c>
      <c r="AE571">
        <v>2723.9049999999988</v>
      </c>
      <c r="AF571">
        <v>0.18618288868998606</v>
      </c>
      <c r="AG571" t="s">
        <v>2828</v>
      </c>
      <c r="AH571">
        <v>2025</v>
      </c>
      <c r="AI571" t="s">
        <v>2835</v>
      </c>
    </row>
    <row r="572" spans="1:35">
      <c r="A572" t="s">
        <v>1806</v>
      </c>
      <c r="B572">
        <v>45887</v>
      </c>
      <c r="C572">
        <v>45891</v>
      </c>
      <c r="D572" t="s">
        <v>1807</v>
      </c>
      <c r="E572" t="s">
        <v>53</v>
      </c>
      <c r="F572" t="s">
        <v>24</v>
      </c>
      <c r="G572" t="s">
        <v>38</v>
      </c>
      <c r="H572" t="s">
        <v>228</v>
      </c>
      <c r="I572" t="s">
        <v>229</v>
      </c>
      <c r="J572" t="s">
        <v>41</v>
      </c>
      <c r="K572" t="s">
        <v>57</v>
      </c>
      <c r="L572" t="s">
        <v>1808</v>
      </c>
      <c r="M572" t="s">
        <v>31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155</v>
      </c>
      <c r="U572" t="s">
        <v>103</v>
      </c>
      <c r="V572" t="s">
        <v>2834</v>
      </c>
      <c r="W572" t="s">
        <v>2834</v>
      </c>
      <c r="X572" t="s">
        <v>2834</v>
      </c>
      <c r="Y572" t="s">
        <v>2834</v>
      </c>
      <c r="Z572">
        <v>4</v>
      </c>
      <c r="AA572" t="s">
        <v>2789</v>
      </c>
      <c r="AB572">
        <v>0.25</v>
      </c>
      <c r="AC572" t="s">
        <v>2794</v>
      </c>
      <c r="AD572">
        <v>8879.49</v>
      </c>
      <c r="AE572">
        <v>2534.92</v>
      </c>
      <c r="AF572">
        <v>0.28548035979543873</v>
      </c>
      <c r="AG572" t="s">
        <v>2827</v>
      </c>
      <c r="AH572">
        <v>2025</v>
      </c>
      <c r="AI572" t="s">
        <v>2835</v>
      </c>
    </row>
    <row r="573" spans="1:35">
      <c r="A573" t="s">
        <v>1809</v>
      </c>
      <c r="B573">
        <v>45698</v>
      </c>
      <c r="C573">
        <v>45702</v>
      </c>
      <c r="D573" t="s">
        <v>1810</v>
      </c>
      <c r="E573" t="s">
        <v>114</v>
      </c>
      <c r="F573" t="s">
        <v>37</v>
      </c>
      <c r="G573" t="s">
        <v>25</v>
      </c>
      <c r="H573" t="s">
        <v>136</v>
      </c>
      <c r="I573" t="s">
        <v>137</v>
      </c>
      <c r="J573" t="s">
        <v>74</v>
      </c>
      <c r="K573" t="s">
        <v>171</v>
      </c>
      <c r="L573" t="s">
        <v>1811</v>
      </c>
      <c r="M573" t="s">
        <v>2791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155</v>
      </c>
      <c r="U573" t="s">
        <v>103</v>
      </c>
      <c r="V573" t="s">
        <v>2834</v>
      </c>
      <c r="W573" t="s">
        <v>2834</v>
      </c>
      <c r="X573" t="s">
        <v>2834</v>
      </c>
      <c r="Y573" t="s">
        <v>2834</v>
      </c>
      <c r="Z573">
        <v>4</v>
      </c>
      <c r="AA573" t="s">
        <v>2790</v>
      </c>
      <c r="AB573">
        <v>0</v>
      </c>
      <c r="AC573" t="s">
        <v>2794</v>
      </c>
      <c r="AD573">
        <v>21381.45</v>
      </c>
      <c r="AE573">
        <v>8141.2400000000016</v>
      </c>
      <c r="AF573">
        <v>0.38076182859441249</v>
      </c>
      <c r="AG573" t="s">
        <v>2821</v>
      </c>
      <c r="AH573">
        <v>2025</v>
      </c>
      <c r="AI573" t="s">
        <v>2836</v>
      </c>
    </row>
    <row r="574" spans="1:35">
      <c r="A574" t="s">
        <v>1812</v>
      </c>
      <c r="B574">
        <v>45293</v>
      </c>
      <c r="C574">
        <v>45300</v>
      </c>
      <c r="D574" t="s">
        <v>1813</v>
      </c>
      <c r="E574" t="s">
        <v>162</v>
      </c>
      <c r="F574" t="s">
        <v>90</v>
      </c>
      <c r="G574" t="s">
        <v>25</v>
      </c>
      <c r="H574" t="s">
        <v>350</v>
      </c>
      <c r="I574" t="s">
        <v>351</v>
      </c>
      <c r="J574" t="s">
        <v>74</v>
      </c>
      <c r="K574" t="s">
        <v>171</v>
      </c>
      <c r="L574" t="s">
        <v>1814</v>
      </c>
      <c r="M574" t="s">
        <v>59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32</v>
      </c>
      <c r="U574" t="s">
        <v>33</v>
      </c>
      <c r="V574" t="s">
        <v>2834</v>
      </c>
      <c r="W574" t="s">
        <v>2834</v>
      </c>
      <c r="X574" t="s">
        <v>2834</v>
      </c>
      <c r="Y574" t="s">
        <v>2834</v>
      </c>
      <c r="Z574">
        <v>7</v>
      </c>
      <c r="AA574" t="s">
        <v>2789</v>
      </c>
      <c r="AB574">
        <v>0.2</v>
      </c>
      <c r="AC574" t="s">
        <v>2794</v>
      </c>
      <c r="AD574">
        <v>1774.944</v>
      </c>
      <c r="AE574">
        <v>767.54399999999998</v>
      </c>
      <c r="AF574">
        <v>0.43243279787982042</v>
      </c>
      <c r="AG574" t="s">
        <v>2820</v>
      </c>
      <c r="AH574">
        <v>2024</v>
      </c>
      <c r="AI574" t="s">
        <v>2835</v>
      </c>
    </row>
    <row r="575" spans="1:35">
      <c r="A575" t="s">
        <v>1815</v>
      </c>
      <c r="B575">
        <v>45922</v>
      </c>
      <c r="C575">
        <v>45926</v>
      </c>
      <c r="D575" t="s">
        <v>1816</v>
      </c>
      <c r="E575" t="s">
        <v>47</v>
      </c>
      <c r="F575" t="s">
        <v>24</v>
      </c>
      <c r="G575" t="s">
        <v>54</v>
      </c>
      <c r="H575" t="s">
        <v>84</v>
      </c>
      <c r="I575" t="s">
        <v>85</v>
      </c>
      <c r="J575" t="s">
        <v>74</v>
      </c>
      <c r="K575" t="s">
        <v>171</v>
      </c>
      <c r="L575" t="s">
        <v>1817</v>
      </c>
      <c r="M575" t="s">
        <v>59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32</v>
      </c>
      <c r="U575" t="s">
        <v>33</v>
      </c>
      <c r="V575" t="s">
        <v>2834</v>
      </c>
      <c r="W575" t="s">
        <v>2834</v>
      </c>
      <c r="X575" t="s">
        <v>2834</v>
      </c>
      <c r="Y575" t="s">
        <v>2834</v>
      </c>
      <c r="Z575">
        <v>4</v>
      </c>
      <c r="AA575" t="s">
        <v>2789</v>
      </c>
      <c r="AB575">
        <v>0</v>
      </c>
      <c r="AC575" t="s">
        <v>2794</v>
      </c>
      <c r="AD575">
        <v>573.65</v>
      </c>
      <c r="AE575">
        <v>250.97999999999996</v>
      </c>
      <c r="AF575">
        <v>0.43751416368866031</v>
      </c>
      <c r="AG575" t="s">
        <v>2828</v>
      </c>
      <c r="AH575">
        <v>2025</v>
      </c>
      <c r="AI575" t="s">
        <v>2835</v>
      </c>
    </row>
    <row r="576" spans="1:35">
      <c r="A576" t="s">
        <v>1818</v>
      </c>
      <c r="B576">
        <v>45342</v>
      </c>
      <c r="C576">
        <v>45347</v>
      </c>
      <c r="D576" t="s">
        <v>802</v>
      </c>
      <c r="E576" t="s">
        <v>162</v>
      </c>
      <c r="F576" t="s">
        <v>95</v>
      </c>
      <c r="G576" t="s">
        <v>25</v>
      </c>
      <c r="H576" t="s">
        <v>122</v>
      </c>
      <c r="I576" t="s">
        <v>123</v>
      </c>
      <c r="J576" t="s">
        <v>74</v>
      </c>
      <c r="K576" t="s">
        <v>274</v>
      </c>
      <c r="L576" t="s">
        <v>1819</v>
      </c>
      <c r="M576" t="s">
        <v>59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32</v>
      </c>
      <c r="U576" t="s">
        <v>33</v>
      </c>
      <c r="V576" t="s">
        <v>2834</v>
      </c>
      <c r="W576" t="s">
        <v>2834</v>
      </c>
      <c r="X576" t="s">
        <v>2834</v>
      </c>
      <c r="Y576" t="s">
        <v>2834</v>
      </c>
      <c r="Z576">
        <v>5</v>
      </c>
      <c r="AA576" t="s">
        <v>2789</v>
      </c>
      <c r="AB576">
        <v>0</v>
      </c>
      <c r="AC576" t="s">
        <v>2794</v>
      </c>
      <c r="AD576">
        <v>5423.2</v>
      </c>
      <c r="AE576">
        <v>1350.7599999999998</v>
      </c>
      <c r="AF576">
        <v>0.24907065938929043</v>
      </c>
      <c r="AG576" t="s">
        <v>2821</v>
      </c>
      <c r="AH576">
        <v>2024</v>
      </c>
      <c r="AI576" t="s">
        <v>2835</v>
      </c>
    </row>
    <row r="577" spans="1:35">
      <c r="A577" t="s">
        <v>1820</v>
      </c>
      <c r="B577">
        <v>45727</v>
      </c>
      <c r="C577">
        <v>45730</v>
      </c>
      <c r="D577" t="s">
        <v>1821</v>
      </c>
      <c r="E577" t="s">
        <v>132</v>
      </c>
      <c r="F577" t="s">
        <v>95</v>
      </c>
      <c r="G577" t="s">
        <v>54</v>
      </c>
      <c r="H577" t="s">
        <v>185</v>
      </c>
      <c r="I577" t="s">
        <v>186</v>
      </c>
      <c r="J577" t="s">
        <v>41</v>
      </c>
      <c r="K577" t="s">
        <v>57</v>
      </c>
      <c r="L577" t="s">
        <v>1822</v>
      </c>
      <c r="M577" t="s">
        <v>44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155</v>
      </c>
      <c r="U577" t="s">
        <v>103</v>
      </c>
      <c r="V577" t="s">
        <v>2834</v>
      </c>
      <c r="W577" t="s">
        <v>2834</v>
      </c>
      <c r="X577" t="s">
        <v>2834</v>
      </c>
      <c r="Y577" t="s">
        <v>2834</v>
      </c>
      <c r="Z577">
        <v>3</v>
      </c>
      <c r="AA577" t="s">
        <v>2789</v>
      </c>
      <c r="AB577">
        <v>0.2</v>
      </c>
      <c r="AC577" t="s">
        <v>2794</v>
      </c>
      <c r="AD577">
        <v>3983.424</v>
      </c>
      <c r="AE577">
        <v>808.51400000000012</v>
      </c>
      <c r="AF577">
        <v>0.2029696060474607</v>
      </c>
      <c r="AG577" t="s">
        <v>2822</v>
      </c>
      <c r="AH577">
        <v>2025</v>
      </c>
      <c r="AI577" t="s">
        <v>2835</v>
      </c>
    </row>
    <row r="578" spans="1:35">
      <c r="A578" t="s">
        <v>1823</v>
      </c>
      <c r="B578">
        <v>45339</v>
      </c>
      <c r="C578">
        <v>45345</v>
      </c>
      <c r="D578" t="s">
        <v>1824</v>
      </c>
      <c r="E578" t="s">
        <v>141</v>
      </c>
      <c r="F578" t="s">
        <v>95</v>
      </c>
      <c r="G578" t="s">
        <v>2791</v>
      </c>
      <c r="H578" t="s">
        <v>145</v>
      </c>
      <c r="I578" t="s">
        <v>146</v>
      </c>
      <c r="J578" t="s">
        <v>28</v>
      </c>
      <c r="K578" t="s">
        <v>153</v>
      </c>
      <c r="L578" t="s">
        <v>1825</v>
      </c>
      <c r="M578" t="s">
        <v>59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102</v>
      </c>
      <c r="U578" t="s">
        <v>103</v>
      </c>
      <c r="V578" t="s">
        <v>2834</v>
      </c>
      <c r="W578" t="s">
        <v>2834</v>
      </c>
      <c r="X578" t="s">
        <v>2834</v>
      </c>
      <c r="Y578" t="s">
        <v>2834</v>
      </c>
      <c r="Z578">
        <v>6</v>
      </c>
      <c r="AA578" t="s">
        <v>2789</v>
      </c>
      <c r="AB578">
        <v>0</v>
      </c>
      <c r="AC578" t="s">
        <v>2794</v>
      </c>
      <c r="AD578">
        <v>23530.14</v>
      </c>
      <c r="AE578">
        <v>3992.3499999999985</v>
      </c>
      <c r="AF578">
        <v>0.16966962372514566</v>
      </c>
      <c r="AG578" t="s">
        <v>2821</v>
      </c>
      <c r="AH578">
        <v>2024</v>
      </c>
      <c r="AI578" t="s">
        <v>2838</v>
      </c>
    </row>
    <row r="579" spans="1:35">
      <c r="A579" t="s">
        <v>1826</v>
      </c>
      <c r="B579">
        <v>45897</v>
      </c>
      <c r="C579">
        <v>45903</v>
      </c>
      <c r="D579" t="s">
        <v>1827</v>
      </c>
      <c r="E579" t="s">
        <v>114</v>
      </c>
      <c r="F579" t="s">
        <v>90</v>
      </c>
      <c r="G579" t="s">
        <v>63</v>
      </c>
      <c r="H579" t="s">
        <v>72</v>
      </c>
      <c r="I579" t="s">
        <v>73</v>
      </c>
      <c r="J579" t="s">
        <v>41</v>
      </c>
      <c r="K579" t="s">
        <v>57</v>
      </c>
      <c r="L579" t="s">
        <v>1828</v>
      </c>
      <c r="M579" t="s">
        <v>59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32</v>
      </c>
      <c r="U579" t="s">
        <v>33</v>
      </c>
      <c r="V579" t="s">
        <v>2834</v>
      </c>
      <c r="W579" t="s">
        <v>2834</v>
      </c>
      <c r="X579" t="s">
        <v>2834</v>
      </c>
      <c r="Y579" t="s">
        <v>2834</v>
      </c>
      <c r="Z579">
        <v>6</v>
      </c>
      <c r="AA579" t="s">
        <v>2789</v>
      </c>
      <c r="AB579">
        <v>0</v>
      </c>
      <c r="AC579" t="s">
        <v>2794</v>
      </c>
      <c r="AD579">
        <v>1879.1499999999999</v>
      </c>
      <c r="AE579">
        <v>744.24999999999977</v>
      </c>
      <c r="AF579">
        <v>0.39605672777585599</v>
      </c>
      <c r="AG579" t="s">
        <v>2827</v>
      </c>
      <c r="AH579">
        <v>2025</v>
      </c>
      <c r="AI579" t="s">
        <v>2835</v>
      </c>
    </row>
    <row r="580" spans="1:35">
      <c r="A580" t="s">
        <v>1829</v>
      </c>
      <c r="B580">
        <v>45343</v>
      </c>
      <c r="C580">
        <v>45345</v>
      </c>
      <c r="D580" t="s">
        <v>295</v>
      </c>
      <c r="E580" t="s">
        <v>79</v>
      </c>
      <c r="F580" t="s">
        <v>37</v>
      </c>
      <c r="G580" t="s">
        <v>63</v>
      </c>
      <c r="H580" t="s">
        <v>180</v>
      </c>
      <c r="I580" t="s">
        <v>181</v>
      </c>
      <c r="J580" t="s">
        <v>74</v>
      </c>
      <c r="K580" t="s">
        <v>80</v>
      </c>
      <c r="L580" t="s">
        <v>1830</v>
      </c>
      <c r="M580" t="s">
        <v>50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32</v>
      </c>
      <c r="U580" t="s">
        <v>33</v>
      </c>
      <c r="V580" t="s">
        <v>2834</v>
      </c>
      <c r="W580" t="s">
        <v>2834</v>
      </c>
      <c r="X580" t="s">
        <v>2834</v>
      </c>
      <c r="Y580" t="s">
        <v>2834</v>
      </c>
      <c r="Z580">
        <v>2</v>
      </c>
      <c r="AA580" t="s">
        <v>2789</v>
      </c>
      <c r="AB580">
        <v>0.05</v>
      </c>
      <c r="AC580" t="s">
        <v>2794</v>
      </c>
      <c r="AD580">
        <v>15011.805</v>
      </c>
      <c r="AE580">
        <v>5351.4449999999997</v>
      </c>
      <c r="AF580">
        <v>0.35648244831317749</v>
      </c>
      <c r="AG580" t="s">
        <v>2821</v>
      </c>
      <c r="AH580">
        <v>2024</v>
      </c>
      <c r="AI580" t="s">
        <v>2835</v>
      </c>
    </row>
    <row r="581" spans="1:35">
      <c r="A581" t="s">
        <v>1831</v>
      </c>
      <c r="B581">
        <v>45462</v>
      </c>
      <c r="C581">
        <v>45467</v>
      </c>
      <c r="D581" t="s">
        <v>1832</v>
      </c>
      <c r="E581" t="s">
        <v>128</v>
      </c>
      <c r="F581" t="s">
        <v>37</v>
      </c>
      <c r="G581" t="s">
        <v>54</v>
      </c>
      <c r="H581" t="s">
        <v>247</v>
      </c>
      <c r="I581" t="s">
        <v>248</v>
      </c>
      <c r="J581" t="s">
        <v>28</v>
      </c>
      <c r="K581" t="s">
        <v>124</v>
      </c>
      <c r="L581" t="s">
        <v>1833</v>
      </c>
      <c r="M581" t="s">
        <v>44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32</v>
      </c>
      <c r="U581" t="s">
        <v>33</v>
      </c>
      <c r="V581" t="s">
        <v>2834</v>
      </c>
      <c r="W581" t="s">
        <v>2834</v>
      </c>
      <c r="X581" t="s">
        <v>2834</v>
      </c>
      <c r="Y581" t="s">
        <v>2834</v>
      </c>
      <c r="Z581">
        <v>5</v>
      </c>
      <c r="AA581" t="s">
        <v>2789</v>
      </c>
      <c r="AB581">
        <v>0</v>
      </c>
      <c r="AC581" t="s">
        <v>2794</v>
      </c>
      <c r="AD581">
        <v>3202.41</v>
      </c>
      <c r="AE581">
        <v>593.9699999999998</v>
      </c>
      <c r="AF581">
        <v>0.18547593843386695</v>
      </c>
      <c r="AG581" t="s">
        <v>2825</v>
      </c>
      <c r="AH581">
        <v>2024</v>
      </c>
      <c r="AI581" t="s">
        <v>2835</v>
      </c>
    </row>
    <row r="582" spans="1:35">
      <c r="A582" t="s">
        <v>1834</v>
      </c>
      <c r="B582">
        <v>45722</v>
      </c>
      <c r="C582">
        <v>45729</v>
      </c>
      <c r="D582" t="s">
        <v>1835</v>
      </c>
      <c r="E582" t="s">
        <v>264</v>
      </c>
      <c r="F582" t="s">
        <v>24</v>
      </c>
      <c r="G582" t="s">
        <v>54</v>
      </c>
      <c r="H582" t="s">
        <v>185</v>
      </c>
      <c r="I582" t="s">
        <v>186</v>
      </c>
      <c r="J582" t="s">
        <v>41</v>
      </c>
      <c r="K582" t="s">
        <v>66</v>
      </c>
      <c r="L582" t="s">
        <v>1836</v>
      </c>
      <c r="M582" t="s">
        <v>59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155</v>
      </c>
      <c r="U582" t="s">
        <v>103</v>
      </c>
      <c r="V582" t="s">
        <v>2834</v>
      </c>
      <c r="W582" t="s">
        <v>2834</v>
      </c>
      <c r="X582" t="s">
        <v>2834</v>
      </c>
      <c r="Y582" t="s">
        <v>2834</v>
      </c>
      <c r="Z582">
        <v>7</v>
      </c>
      <c r="AA582" t="s">
        <v>2789</v>
      </c>
      <c r="AB582">
        <v>0.15</v>
      </c>
      <c r="AC582" t="s">
        <v>2794</v>
      </c>
      <c r="AD582">
        <v>417.48599999999999</v>
      </c>
      <c r="AE582">
        <v>155.81599999999997</v>
      </c>
      <c r="AF582">
        <v>0.37322449136018926</v>
      </c>
      <c r="AG582" t="s">
        <v>2822</v>
      </c>
      <c r="AH582">
        <v>2025</v>
      </c>
      <c r="AI582" t="s">
        <v>2835</v>
      </c>
    </row>
    <row r="583" spans="1:35">
      <c r="A583" t="s">
        <v>1837</v>
      </c>
      <c r="B583">
        <v>45878</v>
      </c>
      <c r="C583">
        <v>45879</v>
      </c>
      <c r="D583" t="s">
        <v>1838</v>
      </c>
      <c r="E583" t="s">
        <v>79</v>
      </c>
      <c r="F583" t="s">
        <v>24</v>
      </c>
      <c r="G583" t="s">
        <v>25</v>
      </c>
      <c r="H583" t="s">
        <v>350</v>
      </c>
      <c r="I583" t="s">
        <v>351</v>
      </c>
      <c r="J583" t="s">
        <v>28</v>
      </c>
      <c r="K583" t="s">
        <v>48</v>
      </c>
      <c r="L583" t="s">
        <v>1839</v>
      </c>
      <c r="M583" t="s">
        <v>31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102</v>
      </c>
      <c r="U583" t="s">
        <v>103</v>
      </c>
      <c r="V583" t="s">
        <v>2834</v>
      </c>
      <c r="W583" t="s">
        <v>2834</v>
      </c>
      <c r="X583" t="s">
        <v>2834</v>
      </c>
      <c r="Y583" t="s">
        <v>2834</v>
      </c>
      <c r="Z583">
        <v>1</v>
      </c>
      <c r="AA583" t="s">
        <v>2789</v>
      </c>
      <c r="AB583">
        <v>0</v>
      </c>
      <c r="AC583" t="s">
        <v>2794</v>
      </c>
      <c r="AD583">
        <v>16323.8</v>
      </c>
      <c r="AE583">
        <v>6358.0099999999984</v>
      </c>
      <c r="AF583">
        <v>0.38949325524693995</v>
      </c>
      <c r="AG583" t="s">
        <v>2827</v>
      </c>
      <c r="AH583">
        <v>2025</v>
      </c>
      <c r="AI583" t="s">
        <v>2835</v>
      </c>
    </row>
    <row r="584" spans="1:35">
      <c r="A584" t="s">
        <v>1840</v>
      </c>
      <c r="B584">
        <v>45580</v>
      </c>
      <c r="C584">
        <v>45585</v>
      </c>
      <c r="D584" t="s">
        <v>1841</v>
      </c>
      <c r="E584" t="s">
        <v>62</v>
      </c>
      <c r="F584" t="s">
        <v>24</v>
      </c>
      <c r="G584" t="s">
        <v>38</v>
      </c>
      <c r="H584" t="s">
        <v>39</v>
      </c>
      <c r="I584" t="s">
        <v>40</v>
      </c>
      <c r="J584" t="s">
        <v>28</v>
      </c>
      <c r="K584" t="s">
        <v>48</v>
      </c>
      <c r="L584" t="s">
        <v>1842</v>
      </c>
      <c r="M584" t="s">
        <v>50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111</v>
      </c>
      <c r="U584" t="s">
        <v>103</v>
      </c>
      <c r="V584" t="s">
        <v>2834</v>
      </c>
      <c r="W584" t="s">
        <v>2834</v>
      </c>
      <c r="X584" t="s">
        <v>2834</v>
      </c>
      <c r="Y584" t="s">
        <v>2834</v>
      </c>
      <c r="Z584">
        <v>5</v>
      </c>
      <c r="AA584" t="s">
        <v>2789</v>
      </c>
      <c r="AB584">
        <v>0</v>
      </c>
      <c r="AC584" t="s">
        <v>2794</v>
      </c>
      <c r="AD584">
        <v>3356.2</v>
      </c>
      <c r="AE584">
        <v>1150.48</v>
      </c>
      <c r="AF584">
        <v>0.34279244383528995</v>
      </c>
      <c r="AG584" t="s">
        <v>2829</v>
      </c>
      <c r="AH584">
        <v>2024</v>
      </c>
      <c r="AI584" t="s">
        <v>2835</v>
      </c>
    </row>
    <row r="585" spans="1:35">
      <c r="A585" t="s">
        <v>1843</v>
      </c>
      <c r="B585">
        <v>45350</v>
      </c>
      <c r="C585">
        <v>45350</v>
      </c>
      <c r="D585" t="s">
        <v>1844</v>
      </c>
      <c r="E585" t="s">
        <v>141</v>
      </c>
      <c r="F585" t="s">
        <v>37</v>
      </c>
      <c r="G585" t="s">
        <v>38</v>
      </c>
      <c r="H585" t="s">
        <v>99</v>
      </c>
      <c r="I585" t="s">
        <v>100</v>
      </c>
      <c r="J585" t="s">
        <v>28</v>
      </c>
      <c r="K585" t="s">
        <v>124</v>
      </c>
      <c r="L585" t="s">
        <v>1845</v>
      </c>
      <c r="M585" t="s">
        <v>50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155</v>
      </c>
      <c r="U585" t="s">
        <v>103</v>
      </c>
      <c r="V585" t="s">
        <v>2834</v>
      </c>
      <c r="W585" t="s">
        <v>2834</v>
      </c>
      <c r="X585" t="s">
        <v>2834</v>
      </c>
      <c r="Y585" t="s">
        <v>2834</v>
      </c>
      <c r="Z585">
        <v>0</v>
      </c>
      <c r="AA585" t="s">
        <v>2789</v>
      </c>
      <c r="AB585">
        <v>0.2</v>
      </c>
      <c r="AC585" t="s">
        <v>2794</v>
      </c>
      <c r="AD585">
        <v>2101.4720000000002</v>
      </c>
      <c r="AE585">
        <v>883.64200000000028</v>
      </c>
      <c r="AF585">
        <v>0.42048716328364127</v>
      </c>
      <c r="AG585" t="s">
        <v>2821</v>
      </c>
      <c r="AH585">
        <v>2024</v>
      </c>
      <c r="AI585" t="s">
        <v>2835</v>
      </c>
    </row>
    <row r="586" spans="1:35">
      <c r="A586" t="s">
        <v>1846</v>
      </c>
      <c r="B586">
        <v>45508</v>
      </c>
      <c r="C586">
        <v>45514</v>
      </c>
      <c r="D586" t="s">
        <v>1847</v>
      </c>
      <c r="E586" t="s">
        <v>71</v>
      </c>
      <c r="F586" t="s">
        <v>24</v>
      </c>
      <c r="G586" t="s">
        <v>38</v>
      </c>
      <c r="H586" t="s">
        <v>145</v>
      </c>
      <c r="I586" t="s">
        <v>146</v>
      </c>
      <c r="J586" t="s">
        <v>28</v>
      </c>
      <c r="K586" t="s">
        <v>48</v>
      </c>
      <c r="L586" t="s">
        <v>1848</v>
      </c>
      <c r="M586" t="s">
        <v>44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111</v>
      </c>
      <c r="U586" t="s">
        <v>103</v>
      </c>
      <c r="V586" t="s">
        <v>2834</v>
      </c>
      <c r="W586" t="s">
        <v>2834</v>
      </c>
      <c r="X586" t="s">
        <v>2834</v>
      </c>
      <c r="Y586" t="s">
        <v>2834</v>
      </c>
      <c r="Z586">
        <v>6</v>
      </c>
      <c r="AA586" t="s">
        <v>2789</v>
      </c>
      <c r="AB586">
        <v>0.15</v>
      </c>
      <c r="AC586" t="s">
        <v>2794</v>
      </c>
      <c r="AD586">
        <v>837.19049999999993</v>
      </c>
      <c r="AE586">
        <v>253.40049999999997</v>
      </c>
      <c r="AF586">
        <v>0.30267961712417901</v>
      </c>
      <c r="AG586" t="s">
        <v>2827</v>
      </c>
      <c r="AH586">
        <v>2024</v>
      </c>
      <c r="AI586" t="s">
        <v>2835</v>
      </c>
    </row>
    <row r="587" spans="1:35">
      <c r="A587" t="s">
        <v>1849</v>
      </c>
      <c r="B587">
        <v>45830</v>
      </c>
      <c r="C587">
        <v>45833</v>
      </c>
      <c r="D587" t="s">
        <v>1850</v>
      </c>
      <c r="E587" t="s">
        <v>162</v>
      </c>
      <c r="F587" t="s">
        <v>37</v>
      </c>
      <c r="G587" t="s">
        <v>63</v>
      </c>
      <c r="H587" t="s">
        <v>64</v>
      </c>
      <c r="I587" t="s">
        <v>65</v>
      </c>
      <c r="J587" t="s">
        <v>74</v>
      </c>
      <c r="K587" t="s">
        <v>171</v>
      </c>
      <c r="L587" t="s">
        <v>1851</v>
      </c>
      <c r="M587" t="s">
        <v>50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32</v>
      </c>
      <c r="U587" t="s">
        <v>33</v>
      </c>
      <c r="V587" t="s">
        <v>2834</v>
      </c>
      <c r="W587" t="s">
        <v>2834</v>
      </c>
      <c r="X587" t="s">
        <v>2834</v>
      </c>
      <c r="Y587" t="s">
        <v>2834</v>
      </c>
      <c r="Z587">
        <v>3</v>
      </c>
      <c r="AA587" t="s">
        <v>2789</v>
      </c>
      <c r="AB587">
        <v>0</v>
      </c>
      <c r="AC587" t="s">
        <v>2794</v>
      </c>
      <c r="AD587">
        <v>27629.279999999999</v>
      </c>
      <c r="AE587">
        <v>5602.7999999999993</v>
      </c>
      <c r="AF587">
        <v>0.20278487170132553</v>
      </c>
      <c r="AG587" t="s">
        <v>2825</v>
      </c>
      <c r="AH587">
        <v>2025</v>
      </c>
      <c r="AI587" t="s">
        <v>2835</v>
      </c>
    </row>
    <row r="588" spans="1:35">
      <c r="A588" t="s">
        <v>1852</v>
      </c>
      <c r="B588">
        <v>45759</v>
      </c>
      <c r="C588">
        <v>45759</v>
      </c>
      <c r="D588" t="s">
        <v>1853</v>
      </c>
      <c r="E588" t="s">
        <v>36</v>
      </c>
      <c r="F588" t="s">
        <v>95</v>
      </c>
      <c r="G588" t="s">
        <v>25</v>
      </c>
      <c r="H588" t="s">
        <v>122</v>
      </c>
      <c r="I588" t="s">
        <v>123</v>
      </c>
      <c r="J588" t="s">
        <v>28</v>
      </c>
      <c r="K588" t="s">
        <v>153</v>
      </c>
      <c r="L588" t="s">
        <v>1854</v>
      </c>
      <c r="M588" t="s">
        <v>31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32</v>
      </c>
      <c r="U588" t="s">
        <v>33</v>
      </c>
      <c r="V588" t="s">
        <v>2834</v>
      </c>
      <c r="W588" t="s">
        <v>2834</v>
      </c>
      <c r="X588" t="s">
        <v>2834</v>
      </c>
      <c r="Y588" t="s">
        <v>2834</v>
      </c>
      <c r="Z588">
        <v>0</v>
      </c>
      <c r="AA588" t="s">
        <v>2789</v>
      </c>
      <c r="AB588">
        <v>0.2</v>
      </c>
      <c r="AC588" t="s">
        <v>2794</v>
      </c>
      <c r="AD588">
        <v>7471.52</v>
      </c>
      <c r="AE588">
        <v>1287.2000000000007</v>
      </c>
      <c r="AF588">
        <v>0.17228087457438387</v>
      </c>
      <c r="AG588" t="s">
        <v>2823</v>
      </c>
      <c r="AH588">
        <v>2025</v>
      </c>
      <c r="AI588" t="s">
        <v>2835</v>
      </c>
    </row>
    <row r="589" spans="1:35">
      <c r="A589" t="s">
        <v>1855</v>
      </c>
      <c r="B589">
        <v>45861</v>
      </c>
      <c r="C589">
        <v>45869</v>
      </c>
      <c r="D589" t="s">
        <v>1856</v>
      </c>
      <c r="E589" t="s">
        <v>264</v>
      </c>
      <c r="F589" t="s">
        <v>95</v>
      </c>
      <c r="G589" t="s">
        <v>63</v>
      </c>
      <c r="H589" t="s">
        <v>72</v>
      </c>
      <c r="I589" t="s">
        <v>73</v>
      </c>
      <c r="J589" t="s">
        <v>74</v>
      </c>
      <c r="K589" t="s">
        <v>75</v>
      </c>
      <c r="L589" t="s">
        <v>1857</v>
      </c>
      <c r="M589" t="s">
        <v>50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102</v>
      </c>
      <c r="U589" t="s">
        <v>68</v>
      </c>
      <c r="V589" t="s">
        <v>2834</v>
      </c>
      <c r="W589" t="s">
        <v>2834</v>
      </c>
      <c r="X589" t="s">
        <v>2834</v>
      </c>
      <c r="Y589" t="s">
        <v>2834</v>
      </c>
      <c r="Z589">
        <v>8</v>
      </c>
      <c r="AA589" t="s">
        <v>2789</v>
      </c>
      <c r="AB589">
        <v>0.15</v>
      </c>
      <c r="AC589" t="s">
        <v>2794</v>
      </c>
      <c r="AD589">
        <v>3615.7640000000001</v>
      </c>
      <c r="AE589">
        <v>664.24400000000014</v>
      </c>
      <c r="AF589">
        <v>0.18370778623826114</v>
      </c>
      <c r="AG589" t="s">
        <v>2826</v>
      </c>
      <c r="AH589">
        <v>2025</v>
      </c>
      <c r="AI589" t="s">
        <v>2835</v>
      </c>
    </row>
    <row r="590" spans="1:35">
      <c r="A590" t="s">
        <v>1858</v>
      </c>
      <c r="B590">
        <v>45727</v>
      </c>
      <c r="C590">
        <v>45731</v>
      </c>
      <c r="D590" t="s">
        <v>1859</v>
      </c>
      <c r="E590" t="s">
        <v>128</v>
      </c>
      <c r="F590" t="s">
        <v>95</v>
      </c>
      <c r="G590" t="s">
        <v>54</v>
      </c>
      <c r="H590" t="s">
        <v>175</v>
      </c>
      <c r="I590" t="s">
        <v>176</v>
      </c>
      <c r="J590" t="s">
        <v>74</v>
      </c>
      <c r="K590" t="s">
        <v>75</v>
      </c>
      <c r="L590" t="s">
        <v>1860</v>
      </c>
      <c r="M590" t="s">
        <v>31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102</v>
      </c>
      <c r="U590" t="s">
        <v>68</v>
      </c>
      <c r="V590" t="s">
        <v>2834</v>
      </c>
      <c r="W590" t="s">
        <v>2834</v>
      </c>
      <c r="X590" t="s">
        <v>2834</v>
      </c>
      <c r="Y590" t="s">
        <v>2834</v>
      </c>
      <c r="Z590">
        <v>4</v>
      </c>
      <c r="AA590" t="s">
        <v>2789</v>
      </c>
      <c r="AB590">
        <v>0.1</v>
      </c>
      <c r="AC590" t="s">
        <v>2794</v>
      </c>
      <c r="AD590">
        <v>32013.791999999998</v>
      </c>
      <c r="AE590">
        <v>11116.911999999997</v>
      </c>
      <c r="AF590">
        <v>0.34725383359771933</v>
      </c>
      <c r="AG590" t="s">
        <v>2822</v>
      </c>
      <c r="AH590">
        <v>2025</v>
      </c>
      <c r="AI590" t="s">
        <v>2835</v>
      </c>
    </row>
    <row r="591" spans="1:35">
      <c r="A591" t="s">
        <v>1861</v>
      </c>
      <c r="B591">
        <v>45632</v>
      </c>
      <c r="C591">
        <v>45638</v>
      </c>
      <c r="D591" t="s">
        <v>1862</v>
      </c>
      <c r="E591" t="s">
        <v>141</v>
      </c>
      <c r="F591" t="s">
        <v>90</v>
      </c>
      <c r="G591" t="s">
        <v>25</v>
      </c>
      <c r="H591" t="s">
        <v>136</v>
      </c>
      <c r="I591" t="s">
        <v>137</v>
      </c>
      <c r="J591" t="s">
        <v>74</v>
      </c>
      <c r="K591" t="s">
        <v>171</v>
      </c>
      <c r="L591" t="s">
        <v>1863</v>
      </c>
      <c r="M591" t="s">
        <v>50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32</v>
      </c>
      <c r="U591" t="s">
        <v>33</v>
      </c>
      <c r="V591" t="s">
        <v>2834</v>
      </c>
      <c r="W591" t="s">
        <v>2834</v>
      </c>
      <c r="X591" t="s">
        <v>2834</v>
      </c>
      <c r="Y591" t="s">
        <v>2834</v>
      </c>
      <c r="Z591">
        <v>6</v>
      </c>
      <c r="AA591" t="s">
        <v>2789</v>
      </c>
      <c r="AB591">
        <v>0</v>
      </c>
      <c r="AC591" t="s">
        <v>2794</v>
      </c>
      <c r="AD591">
        <v>1574.25</v>
      </c>
      <c r="AE591">
        <v>248.13000000000011</v>
      </c>
      <c r="AF591">
        <v>0.15761791329204389</v>
      </c>
      <c r="AG591" t="s">
        <v>2831</v>
      </c>
      <c r="AH591">
        <v>2024</v>
      </c>
      <c r="AI591" t="s">
        <v>2835</v>
      </c>
    </row>
    <row r="592" spans="1:35">
      <c r="A592" t="s">
        <v>1864</v>
      </c>
      <c r="B592">
        <v>45441</v>
      </c>
      <c r="C592">
        <v>45441</v>
      </c>
      <c r="D592" t="s">
        <v>1865</v>
      </c>
      <c r="E592" t="s">
        <v>128</v>
      </c>
      <c r="F592" t="s">
        <v>95</v>
      </c>
      <c r="G592" t="s">
        <v>25</v>
      </c>
      <c r="H592" t="s">
        <v>350</v>
      </c>
      <c r="I592" t="s">
        <v>351</v>
      </c>
      <c r="J592" t="s">
        <v>41</v>
      </c>
      <c r="K592" t="s">
        <v>66</v>
      </c>
      <c r="L592" t="s">
        <v>1866</v>
      </c>
      <c r="M592" t="s">
        <v>44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111</v>
      </c>
      <c r="U592" t="s">
        <v>68</v>
      </c>
      <c r="V592" t="s">
        <v>2834</v>
      </c>
      <c r="W592" t="s">
        <v>2834</v>
      </c>
      <c r="X592" t="s">
        <v>2834</v>
      </c>
      <c r="Y592" t="s">
        <v>2834</v>
      </c>
      <c r="Z592">
        <v>0</v>
      </c>
      <c r="AA592" t="s">
        <v>2789</v>
      </c>
      <c r="AB592">
        <v>0</v>
      </c>
      <c r="AC592" t="s">
        <v>2794</v>
      </c>
      <c r="AD592">
        <v>20582.099999999999</v>
      </c>
      <c r="AE592">
        <v>4684.4499999999989</v>
      </c>
      <c r="AF592">
        <v>0.22759825285077806</v>
      </c>
      <c r="AG592" t="s">
        <v>2824</v>
      </c>
      <c r="AH592">
        <v>2024</v>
      </c>
      <c r="AI592" t="s">
        <v>2835</v>
      </c>
    </row>
    <row r="593" spans="1:35">
      <c r="A593" t="s">
        <v>1867</v>
      </c>
      <c r="B593">
        <v>45344</v>
      </c>
      <c r="C593">
        <v>45346</v>
      </c>
      <c r="D593" t="s">
        <v>1868</v>
      </c>
      <c r="E593" t="s">
        <v>132</v>
      </c>
      <c r="F593" t="s">
        <v>24</v>
      </c>
      <c r="G593" t="s">
        <v>54</v>
      </c>
      <c r="H593" t="s">
        <v>175</v>
      </c>
      <c r="I593" t="s">
        <v>176</v>
      </c>
      <c r="J593" t="s">
        <v>74</v>
      </c>
      <c r="K593" t="s">
        <v>80</v>
      </c>
      <c r="L593" t="s">
        <v>1869</v>
      </c>
      <c r="M593" t="s">
        <v>50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155</v>
      </c>
      <c r="U593" t="s">
        <v>103</v>
      </c>
      <c r="V593" t="s">
        <v>2834</v>
      </c>
      <c r="W593" t="s">
        <v>2834</v>
      </c>
      <c r="X593" t="s">
        <v>2834</v>
      </c>
      <c r="Y593" t="s">
        <v>2834</v>
      </c>
      <c r="Z593">
        <v>2</v>
      </c>
      <c r="AA593" t="s">
        <v>2789</v>
      </c>
      <c r="AB593">
        <v>0</v>
      </c>
      <c r="AC593" t="s">
        <v>2794</v>
      </c>
      <c r="AD593">
        <v>10635.24</v>
      </c>
      <c r="AE593">
        <v>4603.3599999999997</v>
      </c>
      <c r="AF593">
        <v>0.43284025560307055</v>
      </c>
      <c r="AG593" t="s">
        <v>2821</v>
      </c>
      <c r="AH593">
        <v>2024</v>
      </c>
      <c r="AI593" t="s">
        <v>2835</v>
      </c>
    </row>
    <row r="594" spans="1:35">
      <c r="A594" t="s">
        <v>1870</v>
      </c>
      <c r="B594">
        <v>45355</v>
      </c>
      <c r="C594">
        <v>45360</v>
      </c>
      <c r="D594" t="s">
        <v>1871</v>
      </c>
      <c r="E594" t="s">
        <v>36</v>
      </c>
      <c r="F594" t="s">
        <v>24</v>
      </c>
      <c r="G594" t="s">
        <v>38</v>
      </c>
      <c r="H594" t="s">
        <v>99</v>
      </c>
      <c r="I594" t="s">
        <v>100</v>
      </c>
      <c r="J594" t="s">
        <v>74</v>
      </c>
      <c r="K594" t="s">
        <v>75</v>
      </c>
      <c r="L594" t="s">
        <v>1872</v>
      </c>
      <c r="M594" t="s">
        <v>44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32</v>
      </c>
      <c r="U594" t="s">
        <v>33</v>
      </c>
      <c r="V594" t="s">
        <v>2834</v>
      </c>
      <c r="W594" t="s">
        <v>2834</v>
      </c>
      <c r="X594" t="s">
        <v>2834</v>
      </c>
      <c r="Y594" t="s">
        <v>2834</v>
      </c>
      <c r="Z594">
        <v>5</v>
      </c>
      <c r="AA594" t="s">
        <v>2789</v>
      </c>
      <c r="AB594">
        <v>0.15</v>
      </c>
      <c r="AC594" t="s">
        <v>2794</v>
      </c>
      <c r="AD594">
        <v>29929.588</v>
      </c>
      <c r="AE594">
        <v>7493.5580000000009</v>
      </c>
      <c r="AF594">
        <v>0.25037290857461858</v>
      </c>
      <c r="AG594" t="s">
        <v>2822</v>
      </c>
      <c r="AH594">
        <v>2024</v>
      </c>
      <c r="AI594" t="s">
        <v>2835</v>
      </c>
    </row>
    <row r="595" spans="1:35">
      <c r="A595" t="s">
        <v>1873</v>
      </c>
      <c r="B595">
        <v>45927</v>
      </c>
      <c r="C595">
        <v>45929</v>
      </c>
      <c r="D595" t="s">
        <v>1665</v>
      </c>
      <c r="E595" t="s">
        <v>53</v>
      </c>
      <c r="F595" t="s">
        <v>95</v>
      </c>
      <c r="G595" t="s">
        <v>25</v>
      </c>
      <c r="H595" t="s">
        <v>136</v>
      </c>
      <c r="I595" t="s">
        <v>137</v>
      </c>
      <c r="J595" t="s">
        <v>41</v>
      </c>
      <c r="K595" t="s">
        <v>42</v>
      </c>
      <c r="L595" t="s">
        <v>1874</v>
      </c>
      <c r="M595" t="s">
        <v>31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32</v>
      </c>
      <c r="U595" t="s">
        <v>33</v>
      </c>
      <c r="V595" t="s">
        <v>2834</v>
      </c>
      <c r="W595" t="s">
        <v>2834</v>
      </c>
      <c r="X595" t="s">
        <v>2834</v>
      </c>
      <c r="Y595" t="s">
        <v>2834</v>
      </c>
      <c r="Z595">
        <v>2</v>
      </c>
      <c r="AA595" t="s">
        <v>2789</v>
      </c>
      <c r="AB595">
        <v>0.25</v>
      </c>
      <c r="AC595" t="s">
        <v>2794</v>
      </c>
      <c r="AD595">
        <v>27675.7425</v>
      </c>
      <c r="AE595">
        <v>12104.6625</v>
      </c>
      <c r="AF595">
        <v>0.4373744444254748</v>
      </c>
      <c r="AG595" t="s">
        <v>2828</v>
      </c>
      <c r="AH595">
        <v>2025</v>
      </c>
      <c r="AI595" t="s">
        <v>2835</v>
      </c>
    </row>
    <row r="596" spans="1:35">
      <c r="A596" t="s">
        <v>1875</v>
      </c>
      <c r="B596">
        <v>45554</v>
      </c>
      <c r="C596">
        <v>45556</v>
      </c>
      <c r="D596" t="s">
        <v>1876</v>
      </c>
      <c r="E596" t="s">
        <v>23</v>
      </c>
      <c r="F596" t="s">
        <v>37</v>
      </c>
      <c r="G596" t="s">
        <v>38</v>
      </c>
      <c r="H596" t="s">
        <v>99</v>
      </c>
      <c r="I596" t="s">
        <v>100</v>
      </c>
      <c r="J596" t="s">
        <v>41</v>
      </c>
      <c r="K596" t="s">
        <v>66</v>
      </c>
      <c r="L596" t="s">
        <v>1877</v>
      </c>
      <c r="M596" t="s">
        <v>50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32</v>
      </c>
      <c r="U596" t="s">
        <v>33</v>
      </c>
      <c r="V596" t="s">
        <v>2834</v>
      </c>
      <c r="W596" t="s">
        <v>2834</v>
      </c>
      <c r="X596" t="s">
        <v>2834</v>
      </c>
      <c r="Y596" t="s">
        <v>2834</v>
      </c>
      <c r="Z596">
        <v>2</v>
      </c>
      <c r="AA596" t="s">
        <v>2789</v>
      </c>
      <c r="AB596">
        <v>0</v>
      </c>
      <c r="AC596" t="s">
        <v>2794</v>
      </c>
      <c r="AD596">
        <v>11945.28</v>
      </c>
      <c r="AE596">
        <v>2244.9700000000012</v>
      </c>
      <c r="AF596">
        <v>0.18793782983739193</v>
      </c>
      <c r="AG596" t="s">
        <v>2828</v>
      </c>
      <c r="AH596">
        <v>2024</v>
      </c>
      <c r="AI596" t="s">
        <v>2835</v>
      </c>
    </row>
    <row r="597" spans="1:35">
      <c r="A597" t="s">
        <v>1878</v>
      </c>
      <c r="B597">
        <v>45699</v>
      </c>
      <c r="C597">
        <v>45704</v>
      </c>
      <c r="D597" t="s">
        <v>1879</v>
      </c>
      <c r="E597" t="s">
        <v>36</v>
      </c>
      <c r="F597" t="s">
        <v>90</v>
      </c>
      <c r="G597" t="s">
        <v>25</v>
      </c>
      <c r="H597" t="s">
        <v>136</v>
      </c>
      <c r="I597" t="s">
        <v>137</v>
      </c>
      <c r="J597" t="s">
        <v>74</v>
      </c>
      <c r="K597" t="s">
        <v>171</v>
      </c>
      <c r="L597" t="s">
        <v>1880</v>
      </c>
      <c r="M597" t="s">
        <v>50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32</v>
      </c>
      <c r="U597" t="s">
        <v>33</v>
      </c>
      <c r="V597" t="s">
        <v>2834</v>
      </c>
      <c r="W597" t="s">
        <v>2834</v>
      </c>
      <c r="X597" t="s">
        <v>2834</v>
      </c>
      <c r="Y597" t="s">
        <v>2834</v>
      </c>
      <c r="Z597">
        <v>5</v>
      </c>
      <c r="AA597" t="s">
        <v>2789</v>
      </c>
      <c r="AB597">
        <v>0.1</v>
      </c>
      <c r="AC597" t="s">
        <v>2794</v>
      </c>
      <c r="AD597">
        <v>13144.031999999999</v>
      </c>
      <c r="AE597">
        <v>3380.0319999999992</v>
      </c>
      <c r="AF597">
        <v>0.25715336055176974</v>
      </c>
      <c r="AG597" t="s">
        <v>2821</v>
      </c>
      <c r="AH597">
        <v>2025</v>
      </c>
      <c r="AI597" t="s">
        <v>2835</v>
      </c>
    </row>
    <row r="598" spans="1:35">
      <c r="A598" t="s">
        <v>1881</v>
      </c>
      <c r="B598">
        <v>45392</v>
      </c>
      <c r="C598">
        <v>45398</v>
      </c>
      <c r="D598" t="s">
        <v>1882</v>
      </c>
      <c r="E598" t="s">
        <v>89</v>
      </c>
      <c r="F598" t="s">
        <v>24</v>
      </c>
      <c r="G598" t="s">
        <v>54</v>
      </c>
      <c r="H598" t="s">
        <v>185</v>
      </c>
      <c r="I598" t="s">
        <v>186</v>
      </c>
      <c r="J598" t="s">
        <v>41</v>
      </c>
      <c r="K598" t="s">
        <v>66</v>
      </c>
      <c r="L598" t="s">
        <v>1883</v>
      </c>
      <c r="M598" t="s">
        <v>31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32</v>
      </c>
      <c r="U598" t="s">
        <v>33</v>
      </c>
      <c r="V598" t="s">
        <v>2834</v>
      </c>
      <c r="W598" t="s">
        <v>2834</v>
      </c>
      <c r="X598" t="s">
        <v>2834</v>
      </c>
      <c r="Y598" t="s">
        <v>2834</v>
      </c>
      <c r="Z598">
        <v>6</v>
      </c>
      <c r="AA598" t="s">
        <v>2789</v>
      </c>
      <c r="AB598">
        <v>0.25</v>
      </c>
      <c r="AC598" t="s">
        <v>2794</v>
      </c>
      <c r="AD598">
        <v>18382.005000000005</v>
      </c>
      <c r="AE598">
        <v>5273.8050000000039</v>
      </c>
      <c r="AF598">
        <v>0.28690042245119629</v>
      </c>
      <c r="AG598" t="s">
        <v>2823</v>
      </c>
      <c r="AH598">
        <v>2024</v>
      </c>
      <c r="AI598" t="s">
        <v>2835</v>
      </c>
    </row>
    <row r="599" spans="1:35">
      <c r="A599" t="s">
        <v>1884</v>
      </c>
      <c r="B599">
        <v>45846</v>
      </c>
      <c r="C599">
        <v>45846</v>
      </c>
      <c r="D599" t="s">
        <v>1885</v>
      </c>
      <c r="E599" t="s">
        <v>89</v>
      </c>
      <c r="F599" t="s">
        <v>24</v>
      </c>
      <c r="G599" t="s">
        <v>54</v>
      </c>
      <c r="H599" t="s">
        <v>55</v>
      </c>
      <c r="I599" t="s">
        <v>56</v>
      </c>
      <c r="J599" t="s">
        <v>74</v>
      </c>
      <c r="K599" t="s">
        <v>80</v>
      </c>
      <c r="L599" t="s">
        <v>1886</v>
      </c>
      <c r="M599" t="s">
        <v>44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32</v>
      </c>
      <c r="U599" t="s">
        <v>33</v>
      </c>
      <c r="V599" t="s">
        <v>2834</v>
      </c>
      <c r="W599" t="s">
        <v>2834</v>
      </c>
      <c r="X599" t="s">
        <v>2834</v>
      </c>
      <c r="Y599" t="s">
        <v>2834</v>
      </c>
      <c r="Z599">
        <v>0</v>
      </c>
      <c r="AA599" t="s">
        <v>2789</v>
      </c>
      <c r="AB599">
        <v>0.25</v>
      </c>
      <c r="AC599" t="s">
        <v>2794</v>
      </c>
      <c r="AD599">
        <v>1855.44</v>
      </c>
      <c r="AE599">
        <v>592.70000000000005</v>
      </c>
      <c r="AF599">
        <v>0.3194390548872505</v>
      </c>
      <c r="AG599" t="s">
        <v>2826</v>
      </c>
      <c r="AH599">
        <v>2025</v>
      </c>
      <c r="AI599" t="s">
        <v>2835</v>
      </c>
    </row>
    <row r="600" spans="1:35">
      <c r="A600" t="s">
        <v>1887</v>
      </c>
      <c r="B600">
        <v>45521</v>
      </c>
      <c r="C600">
        <v>45528</v>
      </c>
      <c r="D600" t="s">
        <v>1888</v>
      </c>
      <c r="E600" t="s">
        <v>62</v>
      </c>
      <c r="F600" t="s">
        <v>90</v>
      </c>
      <c r="G600" t="s">
        <v>38</v>
      </c>
      <c r="H600" t="s">
        <v>99</v>
      </c>
      <c r="I600" t="s">
        <v>100</v>
      </c>
      <c r="J600" t="s">
        <v>74</v>
      </c>
      <c r="K600" t="s">
        <v>80</v>
      </c>
      <c r="L600" t="s">
        <v>1889</v>
      </c>
      <c r="M600" t="s">
        <v>44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32</v>
      </c>
      <c r="U600" t="s">
        <v>33</v>
      </c>
      <c r="V600" t="s">
        <v>2834</v>
      </c>
      <c r="W600" t="s">
        <v>2834</v>
      </c>
      <c r="X600" t="s">
        <v>2834</v>
      </c>
      <c r="Y600" t="s">
        <v>2834</v>
      </c>
      <c r="Z600">
        <v>7</v>
      </c>
      <c r="AA600" t="s">
        <v>2789</v>
      </c>
      <c r="AB600">
        <v>0.25</v>
      </c>
      <c r="AC600" t="s">
        <v>2794</v>
      </c>
      <c r="AD600">
        <v>3354.0524999999998</v>
      </c>
      <c r="AE600">
        <v>681.38249999999971</v>
      </c>
      <c r="AF600">
        <v>0.20315200790685289</v>
      </c>
      <c r="AG600" t="s">
        <v>2827</v>
      </c>
      <c r="AH600">
        <v>2024</v>
      </c>
      <c r="AI600" t="s">
        <v>2835</v>
      </c>
    </row>
    <row r="601" spans="1:35">
      <c r="A601" t="s">
        <v>1890</v>
      </c>
      <c r="B601">
        <v>45523</v>
      </c>
      <c r="C601">
        <v>45525</v>
      </c>
      <c r="D601" t="s">
        <v>1891</v>
      </c>
      <c r="E601" t="s">
        <v>53</v>
      </c>
      <c r="F601" t="s">
        <v>24</v>
      </c>
      <c r="G601" t="s">
        <v>25</v>
      </c>
      <c r="H601" t="s">
        <v>122</v>
      </c>
      <c r="I601" t="s">
        <v>123</v>
      </c>
      <c r="J601" t="s">
        <v>74</v>
      </c>
      <c r="K601" t="s">
        <v>171</v>
      </c>
      <c r="L601" t="s">
        <v>1892</v>
      </c>
      <c r="M601" t="s">
        <v>50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32</v>
      </c>
      <c r="U601" t="s">
        <v>33</v>
      </c>
      <c r="V601" t="s">
        <v>2834</v>
      </c>
      <c r="W601" t="s">
        <v>2834</v>
      </c>
      <c r="X601" t="s">
        <v>2834</v>
      </c>
      <c r="Y601" t="s">
        <v>2834</v>
      </c>
      <c r="Z601">
        <v>2</v>
      </c>
      <c r="AA601" t="s">
        <v>2789</v>
      </c>
      <c r="AB601">
        <v>0.25</v>
      </c>
      <c r="AC601" t="s">
        <v>2794</v>
      </c>
      <c r="AD601">
        <v>2482.9650000000001</v>
      </c>
      <c r="AE601">
        <v>861.24500000000012</v>
      </c>
      <c r="AF601">
        <v>0.34686151435884116</v>
      </c>
      <c r="AG601" t="s">
        <v>2827</v>
      </c>
      <c r="AH601">
        <v>2024</v>
      </c>
      <c r="AI601" t="s">
        <v>2835</v>
      </c>
    </row>
    <row r="602" spans="1:35">
      <c r="A602" t="s">
        <v>1893</v>
      </c>
      <c r="B602">
        <v>45721</v>
      </c>
      <c r="C602">
        <v>45728</v>
      </c>
      <c r="D602" t="s">
        <v>1894</v>
      </c>
      <c r="E602" t="s">
        <v>62</v>
      </c>
      <c r="F602" t="s">
        <v>90</v>
      </c>
      <c r="G602" t="s">
        <v>63</v>
      </c>
      <c r="H602" t="s">
        <v>72</v>
      </c>
      <c r="I602" t="s">
        <v>73</v>
      </c>
      <c r="J602" t="s">
        <v>28</v>
      </c>
      <c r="K602" t="s">
        <v>124</v>
      </c>
      <c r="L602" t="s">
        <v>1895</v>
      </c>
      <c r="M602" t="s">
        <v>44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32</v>
      </c>
      <c r="U602" t="s">
        <v>33</v>
      </c>
      <c r="V602" t="s">
        <v>2834</v>
      </c>
      <c r="W602" t="s">
        <v>2834</v>
      </c>
      <c r="X602" t="s">
        <v>2834</v>
      </c>
      <c r="Y602" t="s">
        <v>2834</v>
      </c>
      <c r="Z602">
        <v>7</v>
      </c>
      <c r="AA602" t="s">
        <v>2789</v>
      </c>
      <c r="AB602">
        <v>0</v>
      </c>
      <c r="AC602" t="s">
        <v>2796</v>
      </c>
      <c r="AD602">
        <v>11048.25</v>
      </c>
      <c r="AE602">
        <v>1985.5300000000007</v>
      </c>
      <c r="AF602">
        <v>0.17971443441268986</v>
      </c>
      <c r="AG602" t="s">
        <v>2822</v>
      </c>
      <c r="AH602">
        <v>2025</v>
      </c>
      <c r="AI602" t="s">
        <v>2838</v>
      </c>
    </row>
    <row r="603" spans="1:35">
      <c r="A603" t="s">
        <v>1896</v>
      </c>
      <c r="B603">
        <v>45317</v>
      </c>
      <c r="C603">
        <v>45322</v>
      </c>
      <c r="D603" t="s">
        <v>1897</v>
      </c>
      <c r="E603" t="s">
        <v>62</v>
      </c>
      <c r="F603" t="s">
        <v>95</v>
      </c>
      <c r="G603" t="s">
        <v>38</v>
      </c>
      <c r="H603" t="s">
        <v>99</v>
      </c>
      <c r="I603" t="s">
        <v>100</v>
      </c>
      <c r="J603" t="s">
        <v>28</v>
      </c>
      <c r="K603" t="s">
        <v>29</v>
      </c>
      <c r="L603" t="s">
        <v>1898</v>
      </c>
      <c r="M603" t="s">
        <v>31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32</v>
      </c>
      <c r="U603" t="s">
        <v>33</v>
      </c>
      <c r="V603" t="s">
        <v>2834</v>
      </c>
      <c r="W603" t="s">
        <v>2834</v>
      </c>
      <c r="X603" t="s">
        <v>2834</v>
      </c>
      <c r="Y603" t="s">
        <v>2834</v>
      </c>
      <c r="Z603">
        <v>5</v>
      </c>
      <c r="AA603" t="s">
        <v>2789</v>
      </c>
      <c r="AB603">
        <v>0.2</v>
      </c>
      <c r="AC603" t="s">
        <v>2794</v>
      </c>
      <c r="AD603">
        <v>6460.12</v>
      </c>
      <c r="AE603">
        <v>2856.0899999999997</v>
      </c>
      <c r="AF603">
        <v>0.44211098245853014</v>
      </c>
      <c r="AG603" t="s">
        <v>2820</v>
      </c>
      <c r="AH603">
        <v>2024</v>
      </c>
      <c r="AI603" t="s">
        <v>2835</v>
      </c>
    </row>
    <row r="604" spans="1:35">
      <c r="A604" t="s">
        <v>1899</v>
      </c>
      <c r="B604">
        <v>45588</v>
      </c>
      <c r="C604">
        <v>45595</v>
      </c>
      <c r="D604" t="s">
        <v>1900</v>
      </c>
      <c r="E604" t="s">
        <v>128</v>
      </c>
      <c r="F604" t="s">
        <v>24</v>
      </c>
      <c r="G604" t="s">
        <v>38</v>
      </c>
      <c r="H604" t="s">
        <v>228</v>
      </c>
      <c r="I604" t="s">
        <v>229</v>
      </c>
      <c r="J604" t="s">
        <v>74</v>
      </c>
      <c r="K604" t="s">
        <v>80</v>
      </c>
      <c r="L604" t="s">
        <v>1901</v>
      </c>
      <c r="M604" t="s">
        <v>31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32</v>
      </c>
      <c r="U604" t="s">
        <v>33</v>
      </c>
      <c r="V604" t="s">
        <v>2834</v>
      </c>
      <c r="W604" t="s">
        <v>2834</v>
      </c>
      <c r="X604" t="s">
        <v>2834</v>
      </c>
      <c r="Y604" t="s">
        <v>2834</v>
      </c>
      <c r="Z604">
        <v>7</v>
      </c>
      <c r="AA604" t="s">
        <v>2789</v>
      </c>
      <c r="AB604">
        <v>0.15</v>
      </c>
      <c r="AC604" t="s">
        <v>2794</v>
      </c>
      <c r="AD604">
        <v>26192.223000000002</v>
      </c>
      <c r="AE604">
        <v>5396.6730000000025</v>
      </c>
      <c r="AF604">
        <v>0.20604104508426041</v>
      </c>
      <c r="AG604" t="s">
        <v>2829</v>
      </c>
      <c r="AH604">
        <v>2024</v>
      </c>
      <c r="AI604" t="s">
        <v>2835</v>
      </c>
    </row>
    <row r="605" spans="1:35">
      <c r="A605" t="s">
        <v>1902</v>
      </c>
      <c r="B605">
        <v>45660</v>
      </c>
      <c r="C605">
        <v>45668</v>
      </c>
      <c r="D605" t="s">
        <v>334</v>
      </c>
      <c r="E605" t="s">
        <v>71</v>
      </c>
      <c r="F605" t="s">
        <v>90</v>
      </c>
      <c r="G605" t="s">
        <v>38</v>
      </c>
      <c r="H605" t="s">
        <v>145</v>
      </c>
      <c r="I605" t="s">
        <v>146</v>
      </c>
      <c r="J605" t="s">
        <v>74</v>
      </c>
      <c r="K605" t="s">
        <v>75</v>
      </c>
      <c r="L605" t="s">
        <v>1903</v>
      </c>
      <c r="M605" t="s">
        <v>50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111</v>
      </c>
      <c r="U605" t="s">
        <v>68</v>
      </c>
      <c r="V605" t="s">
        <v>2834</v>
      </c>
      <c r="W605" t="s">
        <v>2834</v>
      </c>
      <c r="X605" t="s">
        <v>2834</v>
      </c>
      <c r="Y605" t="s">
        <v>2834</v>
      </c>
      <c r="Z605">
        <v>8</v>
      </c>
      <c r="AA605" t="s">
        <v>2789</v>
      </c>
      <c r="AB605">
        <v>0.05</v>
      </c>
      <c r="AC605" t="s">
        <v>2794</v>
      </c>
      <c r="AD605">
        <v>19564.603999999999</v>
      </c>
      <c r="AE605">
        <v>8410.0139999999992</v>
      </c>
      <c r="AF605">
        <v>0.42985863654587642</v>
      </c>
      <c r="AG605" t="s">
        <v>2820</v>
      </c>
      <c r="AH605">
        <v>2025</v>
      </c>
      <c r="AI605" t="s">
        <v>2835</v>
      </c>
    </row>
    <row r="606" spans="1:35">
      <c r="A606" t="s">
        <v>1904</v>
      </c>
      <c r="B606">
        <v>45693</v>
      </c>
      <c r="C606">
        <v>45694</v>
      </c>
      <c r="D606" t="s">
        <v>1905</v>
      </c>
      <c r="E606" t="s">
        <v>62</v>
      </c>
      <c r="F606" t="s">
        <v>24</v>
      </c>
      <c r="G606" t="s">
        <v>63</v>
      </c>
      <c r="H606" t="s">
        <v>72</v>
      </c>
      <c r="I606" t="s">
        <v>73</v>
      </c>
      <c r="J606" t="s">
        <v>28</v>
      </c>
      <c r="K606" t="s">
        <v>153</v>
      </c>
      <c r="L606" t="s">
        <v>1906</v>
      </c>
      <c r="M606" t="s">
        <v>44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32</v>
      </c>
      <c r="U606" t="s">
        <v>33</v>
      </c>
      <c r="V606" t="s">
        <v>2834</v>
      </c>
      <c r="W606" t="s">
        <v>2834</v>
      </c>
      <c r="X606" t="s">
        <v>2834</v>
      </c>
      <c r="Y606" t="s">
        <v>2834</v>
      </c>
      <c r="Z606">
        <v>1</v>
      </c>
      <c r="AA606" t="s">
        <v>2789</v>
      </c>
      <c r="AB606">
        <v>0</v>
      </c>
      <c r="AC606" t="s">
        <v>2794</v>
      </c>
      <c r="AD606">
        <v>3228.8999999999996</v>
      </c>
      <c r="AE606">
        <v>1375.6699999999996</v>
      </c>
      <c r="AF606">
        <v>0.42604911889497965</v>
      </c>
      <c r="AG606" t="s">
        <v>2821</v>
      </c>
      <c r="AH606">
        <v>2025</v>
      </c>
      <c r="AI606" t="s">
        <v>2835</v>
      </c>
    </row>
    <row r="607" spans="1:35">
      <c r="A607" t="s">
        <v>1907</v>
      </c>
      <c r="B607">
        <v>45847</v>
      </c>
      <c r="C607">
        <v>45851</v>
      </c>
      <c r="D607" t="s">
        <v>1908</v>
      </c>
      <c r="E607" t="s">
        <v>264</v>
      </c>
      <c r="F607" t="s">
        <v>90</v>
      </c>
      <c r="G607" t="s">
        <v>63</v>
      </c>
      <c r="H607" t="s">
        <v>190</v>
      </c>
      <c r="I607" t="s">
        <v>191</v>
      </c>
      <c r="J607" t="s">
        <v>41</v>
      </c>
      <c r="K607" t="s">
        <v>57</v>
      </c>
      <c r="L607" t="s">
        <v>1909</v>
      </c>
      <c r="M607" t="s">
        <v>31</v>
      </c>
      <c r="N607">
        <v>5</v>
      </c>
      <c r="O607">
        <v>1680.01</v>
      </c>
      <c r="P607" t="s">
        <v>767</v>
      </c>
      <c r="Q607">
        <v>7560.04</v>
      </c>
      <c r="R607">
        <v>6448.05</v>
      </c>
      <c r="S607">
        <v>1111.99</v>
      </c>
      <c r="T607" t="s">
        <v>32</v>
      </c>
      <c r="U607" t="s">
        <v>68</v>
      </c>
      <c r="V607" t="s">
        <v>2834</v>
      </c>
      <c r="W607" t="s">
        <v>2834</v>
      </c>
      <c r="X607" t="s">
        <v>2834</v>
      </c>
      <c r="Y607" t="s">
        <v>2834</v>
      </c>
      <c r="Z607">
        <v>4</v>
      </c>
      <c r="AA607" t="s">
        <v>2789</v>
      </c>
      <c r="AB607">
        <v>0.85</v>
      </c>
      <c r="AC607" t="s">
        <v>2797</v>
      </c>
      <c r="AD607">
        <v>1260.0075000000002</v>
      </c>
      <c r="AE607">
        <v>-5188.0424999999996</v>
      </c>
      <c r="AF607">
        <v>-4.1174695388717915</v>
      </c>
      <c r="AG607" t="s">
        <v>2826</v>
      </c>
      <c r="AH607">
        <v>2025</v>
      </c>
      <c r="AI607" t="s">
        <v>2836</v>
      </c>
    </row>
    <row r="608" spans="1:35">
      <c r="A608" t="s">
        <v>1910</v>
      </c>
      <c r="B608">
        <v>45710</v>
      </c>
      <c r="C608">
        <v>45716</v>
      </c>
      <c r="D608" t="s">
        <v>1911</v>
      </c>
      <c r="E608" t="s">
        <v>118</v>
      </c>
      <c r="F608" t="s">
        <v>95</v>
      </c>
      <c r="G608" t="s">
        <v>63</v>
      </c>
      <c r="H608" t="s">
        <v>72</v>
      </c>
      <c r="I608" t="s">
        <v>73</v>
      </c>
      <c r="J608" t="s">
        <v>74</v>
      </c>
      <c r="K608" t="s">
        <v>80</v>
      </c>
      <c r="L608" t="s">
        <v>1912</v>
      </c>
      <c r="M608" t="s">
        <v>44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32</v>
      </c>
      <c r="U608" t="s">
        <v>33</v>
      </c>
      <c r="V608" t="s">
        <v>2834</v>
      </c>
      <c r="W608" t="s">
        <v>2834</v>
      </c>
      <c r="X608" t="s">
        <v>2834</v>
      </c>
      <c r="Y608" t="s">
        <v>2834</v>
      </c>
      <c r="Z608">
        <v>6</v>
      </c>
      <c r="AA608" t="s">
        <v>2789</v>
      </c>
      <c r="AB608">
        <v>0.25</v>
      </c>
      <c r="AC608" t="s">
        <v>2794</v>
      </c>
      <c r="AD608">
        <v>8754.3225000000002</v>
      </c>
      <c r="AE608">
        <v>2515.4225000000006</v>
      </c>
      <c r="AF608">
        <v>0.28733491369549163</v>
      </c>
      <c r="AG608" t="s">
        <v>2821</v>
      </c>
      <c r="AH608">
        <v>2025</v>
      </c>
      <c r="AI608" t="s">
        <v>2835</v>
      </c>
    </row>
    <row r="609" spans="1:35">
      <c r="A609" t="s">
        <v>1913</v>
      </c>
      <c r="B609">
        <v>45704</v>
      </c>
      <c r="C609">
        <v>45710</v>
      </c>
      <c r="D609" t="s">
        <v>1914</v>
      </c>
      <c r="E609" t="s">
        <v>132</v>
      </c>
      <c r="F609" t="s">
        <v>95</v>
      </c>
      <c r="G609" t="s">
        <v>38</v>
      </c>
      <c r="H609" t="s">
        <v>145</v>
      </c>
      <c r="I609" t="s">
        <v>146</v>
      </c>
      <c r="J609" t="s">
        <v>28</v>
      </c>
      <c r="K609" t="s">
        <v>124</v>
      </c>
      <c r="L609" t="s">
        <v>1915</v>
      </c>
      <c r="M609" t="s">
        <v>44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32</v>
      </c>
      <c r="U609" t="s">
        <v>33</v>
      </c>
      <c r="V609" t="s">
        <v>2834</v>
      </c>
      <c r="W609" t="s">
        <v>2834</v>
      </c>
      <c r="X609" t="s">
        <v>2834</v>
      </c>
      <c r="Y609" t="s">
        <v>2834</v>
      </c>
      <c r="Z609">
        <v>6</v>
      </c>
      <c r="AA609" t="s">
        <v>2789</v>
      </c>
      <c r="AB609">
        <v>0.15</v>
      </c>
      <c r="AC609" t="s">
        <v>2794</v>
      </c>
      <c r="AD609">
        <v>4057.3474999999994</v>
      </c>
      <c r="AE609">
        <v>1195.3174999999992</v>
      </c>
      <c r="AF609">
        <v>0.29460565061286947</v>
      </c>
      <c r="AG609" t="s">
        <v>2821</v>
      </c>
      <c r="AH609">
        <v>2025</v>
      </c>
      <c r="AI609" t="s">
        <v>2835</v>
      </c>
    </row>
    <row r="610" spans="1:35">
      <c r="A610" t="s">
        <v>1916</v>
      </c>
      <c r="B610">
        <v>45464</v>
      </c>
      <c r="C610">
        <v>45466</v>
      </c>
      <c r="D610" t="s">
        <v>1694</v>
      </c>
      <c r="E610" t="s">
        <v>23</v>
      </c>
      <c r="F610" t="s">
        <v>95</v>
      </c>
      <c r="G610" t="s">
        <v>63</v>
      </c>
      <c r="H610" t="s">
        <v>190</v>
      </c>
      <c r="I610" t="s">
        <v>191</v>
      </c>
      <c r="J610" t="s">
        <v>41</v>
      </c>
      <c r="K610" t="s">
        <v>57</v>
      </c>
      <c r="L610" t="s">
        <v>1917</v>
      </c>
      <c r="M610" t="s">
        <v>31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32</v>
      </c>
      <c r="U610" t="s">
        <v>33</v>
      </c>
      <c r="V610" t="s">
        <v>2834</v>
      </c>
      <c r="W610" t="s">
        <v>2834</v>
      </c>
      <c r="X610" t="s">
        <v>2834</v>
      </c>
      <c r="Y610" t="s">
        <v>2834</v>
      </c>
      <c r="Z610">
        <v>2</v>
      </c>
      <c r="AA610" t="s">
        <v>2789</v>
      </c>
      <c r="AB610">
        <v>0</v>
      </c>
      <c r="AC610" t="s">
        <v>2794</v>
      </c>
      <c r="AD610">
        <v>19383.75</v>
      </c>
      <c r="AE610">
        <v>7716.32</v>
      </c>
      <c r="AF610">
        <v>0.39808189849745274</v>
      </c>
      <c r="AG610" t="s">
        <v>2825</v>
      </c>
      <c r="AH610">
        <v>2024</v>
      </c>
      <c r="AI610" t="s">
        <v>2835</v>
      </c>
    </row>
    <row r="611" spans="1:35">
      <c r="A611" t="s">
        <v>1918</v>
      </c>
      <c r="B611">
        <v>45665</v>
      </c>
      <c r="C611">
        <v>45669</v>
      </c>
      <c r="D611" t="s">
        <v>1919</v>
      </c>
      <c r="E611" t="s">
        <v>132</v>
      </c>
      <c r="F611" t="s">
        <v>95</v>
      </c>
      <c r="G611" t="s">
        <v>54</v>
      </c>
      <c r="H611" t="s">
        <v>175</v>
      </c>
      <c r="I611" t="s">
        <v>176</v>
      </c>
      <c r="J611" t="s">
        <v>41</v>
      </c>
      <c r="K611" t="s">
        <v>66</v>
      </c>
      <c r="L611" t="s">
        <v>1920</v>
      </c>
      <c r="M611" t="s">
        <v>59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32</v>
      </c>
      <c r="U611" t="s">
        <v>33</v>
      </c>
      <c r="V611" t="s">
        <v>2834</v>
      </c>
      <c r="W611" t="s">
        <v>2834</v>
      </c>
      <c r="X611" t="s">
        <v>2834</v>
      </c>
      <c r="Y611" t="s">
        <v>2834</v>
      </c>
      <c r="Z611">
        <v>4</v>
      </c>
      <c r="AA611" t="s">
        <v>2789</v>
      </c>
      <c r="AB611">
        <v>0</v>
      </c>
      <c r="AC611" t="s">
        <v>2794</v>
      </c>
      <c r="AD611">
        <v>30362.359999999997</v>
      </c>
      <c r="AE611">
        <v>5296.9599999999955</v>
      </c>
      <c r="AF611">
        <v>0.17445811195177174</v>
      </c>
      <c r="AG611" t="s">
        <v>2820</v>
      </c>
      <c r="AH611">
        <v>2025</v>
      </c>
      <c r="AI611" t="s">
        <v>2835</v>
      </c>
    </row>
    <row r="612" spans="1:35">
      <c r="A612" t="s">
        <v>1921</v>
      </c>
      <c r="B612">
        <v>45432</v>
      </c>
      <c r="C612">
        <v>45432</v>
      </c>
      <c r="D612" t="s">
        <v>1366</v>
      </c>
      <c r="E612" t="s">
        <v>23</v>
      </c>
      <c r="F612" t="s">
        <v>95</v>
      </c>
      <c r="G612" t="s">
        <v>63</v>
      </c>
      <c r="H612" t="s">
        <v>72</v>
      </c>
      <c r="I612" t="s">
        <v>73</v>
      </c>
      <c r="J612" t="s">
        <v>41</v>
      </c>
      <c r="K612" t="s">
        <v>66</v>
      </c>
      <c r="L612" t="s">
        <v>1922</v>
      </c>
      <c r="M612" t="s">
        <v>59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32</v>
      </c>
      <c r="U612" t="s">
        <v>33</v>
      </c>
      <c r="V612" t="s">
        <v>2834</v>
      </c>
      <c r="W612" t="s">
        <v>2834</v>
      </c>
      <c r="X612" t="s">
        <v>2834</v>
      </c>
      <c r="Y612" t="s">
        <v>2834</v>
      </c>
      <c r="Z612">
        <v>0</v>
      </c>
      <c r="AA612" t="s">
        <v>2789</v>
      </c>
      <c r="AB612">
        <v>0.1</v>
      </c>
      <c r="AC612" t="s">
        <v>2794</v>
      </c>
      <c r="AD612">
        <v>2729.6549999999997</v>
      </c>
      <c r="AE612">
        <v>1014.2949999999998</v>
      </c>
      <c r="AF612">
        <v>0.37158358840219735</v>
      </c>
      <c r="AG612" t="s">
        <v>2824</v>
      </c>
      <c r="AH612">
        <v>2024</v>
      </c>
      <c r="AI612" t="s">
        <v>2835</v>
      </c>
    </row>
    <row r="613" spans="1:35">
      <c r="A613" t="s">
        <v>1923</v>
      </c>
      <c r="B613">
        <v>45846</v>
      </c>
      <c r="C613">
        <v>45853</v>
      </c>
      <c r="D613" t="s">
        <v>1924</v>
      </c>
      <c r="E613" t="s">
        <v>62</v>
      </c>
      <c r="F613" t="s">
        <v>37</v>
      </c>
      <c r="G613" t="s">
        <v>25</v>
      </c>
      <c r="H613" t="s">
        <v>26</v>
      </c>
      <c r="I613" t="s">
        <v>27</v>
      </c>
      <c r="J613" t="s">
        <v>28</v>
      </c>
      <c r="K613" t="s">
        <v>153</v>
      </c>
      <c r="L613" t="s">
        <v>1925</v>
      </c>
      <c r="M613" t="s">
        <v>44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32</v>
      </c>
      <c r="U613" t="s">
        <v>33</v>
      </c>
      <c r="V613" t="s">
        <v>2834</v>
      </c>
      <c r="W613" t="s">
        <v>2834</v>
      </c>
      <c r="X613" t="s">
        <v>2834</v>
      </c>
      <c r="Y613" t="s">
        <v>2834</v>
      </c>
      <c r="Z613">
        <v>7</v>
      </c>
      <c r="AA613" t="s">
        <v>2789</v>
      </c>
      <c r="AB613">
        <v>0.1</v>
      </c>
      <c r="AC613" t="s">
        <v>2794</v>
      </c>
      <c r="AD613">
        <v>4718.0159999999996</v>
      </c>
      <c r="AE613">
        <v>809.7859999999996</v>
      </c>
      <c r="AF613">
        <v>0.17163697622051297</v>
      </c>
      <c r="AG613" t="s">
        <v>2826</v>
      </c>
      <c r="AH613">
        <v>2025</v>
      </c>
      <c r="AI613" t="s">
        <v>2835</v>
      </c>
    </row>
    <row r="614" spans="1:35">
      <c r="A614" t="s">
        <v>1926</v>
      </c>
      <c r="B614">
        <v>45753</v>
      </c>
      <c r="C614">
        <v>45760</v>
      </c>
      <c r="D614" t="s">
        <v>1927</v>
      </c>
      <c r="E614" t="s">
        <v>89</v>
      </c>
      <c r="F614" t="s">
        <v>24</v>
      </c>
      <c r="G614" t="s">
        <v>2791</v>
      </c>
      <c r="H614" t="s">
        <v>39</v>
      </c>
      <c r="I614" t="s">
        <v>40</v>
      </c>
      <c r="J614" t="s">
        <v>74</v>
      </c>
      <c r="K614" t="s">
        <v>171</v>
      </c>
      <c r="L614" t="s">
        <v>1928</v>
      </c>
      <c r="M614" t="s">
        <v>59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32</v>
      </c>
      <c r="U614" t="s">
        <v>33</v>
      </c>
      <c r="V614" t="s">
        <v>2834</v>
      </c>
      <c r="W614" t="s">
        <v>2834</v>
      </c>
      <c r="X614" t="s">
        <v>2834</v>
      </c>
      <c r="Y614" t="s">
        <v>2834</v>
      </c>
      <c r="Z614">
        <v>7</v>
      </c>
      <c r="AA614" t="s">
        <v>2789</v>
      </c>
      <c r="AB614">
        <v>0</v>
      </c>
      <c r="AC614" t="s">
        <v>2794</v>
      </c>
      <c r="AD614">
        <v>3844.01</v>
      </c>
      <c r="AE614">
        <v>1648.2200000000003</v>
      </c>
      <c r="AF614">
        <v>0.42877619985379856</v>
      </c>
      <c r="AG614" t="s">
        <v>2823</v>
      </c>
      <c r="AH614">
        <v>2025</v>
      </c>
      <c r="AI614" t="s">
        <v>2838</v>
      </c>
    </row>
    <row r="615" spans="1:35">
      <c r="A615" t="s">
        <v>1929</v>
      </c>
      <c r="B615">
        <v>45570</v>
      </c>
      <c r="C615">
        <v>45575</v>
      </c>
      <c r="D615" t="s">
        <v>1930</v>
      </c>
      <c r="E615" t="s">
        <v>162</v>
      </c>
      <c r="F615" t="s">
        <v>95</v>
      </c>
      <c r="G615" t="s">
        <v>63</v>
      </c>
      <c r="H615" t="s">
        <v>180</v>
      </c>
      <c r="I615" t="s">
        <v>181</v>
      </c>
      <c r="J615" t="s">
        <v>74</v>
      </c>
      <c r="K615" t="s">
        <v>274</v>
      </c>
      <c r="L615" t="s">
        <v>1931</v>
      </c>
      <c r="M615" t="s">
        <v>44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32</v>
      </c>
      <c r="U615" t="s">
        <v>33</v>
      </c>
      <c r="V615" t="s">
        <v>2834</v>
      </c>
      <c r="W615" t="s">
        <v>2834</v>
      </c>
      <c r="X615" t="s">
        <v>2834</v>
      </c>
      <c r="Y615" t="s">
        <v>2834</v>
      </c>
      <c r="Z615">
        <v>5</v>
      </c>
      <c r="AA615" t="s">
        <v>2789</v>
      </c>
      <c r="AB615">
        <v>0.25</v>
      </c>
      <c r="AC615" t="s">
        <v>2794</v>
      </c>
      <c r="AD615">
        <v>22688.775000000001</v>
      </c>
      <c r="AE615">
        <v>8016.3650000000016</v>
      </c>
      <c r="AF615">
        <v>0.35331854628555315</v>
      </c>
      <c r="AG615" t="s">
        <v>2829</v>
      </c>
      <c r="AH615">
        <v>2024</v>
      </c>
      <c r="AI615" t="s">
        <v>2835</v>
      </c>
    </row>
    <row r="616" spans="1:35">
      <c r="A616" t="s">
        <v>1932</v>
      </c>
      <c r="B616">
        <v>45333</v>
      </c>
      <c r="C616">
        <v>45341</v>
      </c>
      <c r="D616" t="s">
        <v>1933</v>
      </c>
      <c r="E616" t="s">
        <v>62</v>
      </c>
      <c r="F616" t="s">
        <v>95</v>
      </c>
      <c r="G616" t="s">
        <v>54</v>
      </c>
      <c r="H616" t="s">
        <v>55</v>
      </c>
      <c r="I616" t="s">
        <v>56</v>
      </c>
      <c r="J616" t="s">
        <v>41</v>
      </c>
      <c r="K616" t="s">
        <v>66</v>
      </c>
      <c r="L616" t="s">
        <v>1934</v>
      </c>
      <c r="M616" t="s">
        <v>59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102</v>
      </c>
      <c r="U616" t="s">
        <v>68</v>
      </c>
      <c r="V616" t="s">
        <v>2834</v>
      </c>
      <c r="W616" t="s">
        <v>2834</v>
      </c>
      <c r="X616" t="s">
        <v>2834</v>
      </c>
      <c r="Y616" t="s">
        <v>2834</v>
      </c>
      <c r="Z616">
        <v>8</v>
      </c>
      <c r="AA616" t="s">
        <v>2789</v>
      </c>
      <c r="AB616">
        <v>0.25</v>
      </c>
      <c r="AC616" t="s">
        <v>2794</v>
      </c>
      <c r="AD616">
        <v>20389.920000000002</v>
      </c>
      <c r="AE616">
        <v>3728.84</v>
      </c>
      <c r="AF616">
        <v>0.18287663708342161</v>
      </c>
      <c r="AG616" t="s">
        <v>2821</v>
      </c>
      <c r="AH616">
        <v>2024</v>
      </c>
      <c r="AI616" t="s">
        <v>2835</v>
      </c>
    </row>
    <row r="617" spans="1:35">
      <c r="A617" t="s">
        <v>1935</v>
      </c>
      <c r="B617">
        <v>45569</v>
      </c>
      <c r="C617">
        <v>45572</v>
      </c>
      <c r="D617" t="s">
        <v>1936</v>
      </c>
      <c r="E617" t="s">
        <v>118</v>
      </c>
      <c r="F617" t="s">
        <v>90</v>
      </c>
      <c r="G617" t="s">
        <v>54</v>
      </c>
      <c r="H617" t="s">
        <v>185</v>
      </c>
      <c r="I617" t="s">
        <v>186</v>
      </c>
      <c r="J617" t="s">
        <v>28</v>
      </c>
      <c r="K617" t="s">
        <v>48</v>
      </c>
      <c r="L617" t="s">
        <v>1937</v>
      </c>
      <c r="M617" t="s">
        <v>31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32</v>
      </c>
      <c r="U617" t="s">
        <v>33</v>
      </c>
      <c r="V617" t="s">
        <v>2834</v>
      </c>
      <c r="W617" t="s">
        <v>2834</v>
      </c>
      <c r="X617" t="s">
        <v>2834</v>
      </c>
      <c r="Y617" t="s">
        <v>2834</v>
      </c>
      <c r="Z617">
        <v>3</v>
      </c>
      <c r="AA617" t="s">
        <v>2789</v>
      </c>
      <c r="AB617">
        <v>0.1</v>
      </c>
      <c r="AC617" t="s">
        <v>2794</v>
      </c>
      <c r="AD617">
        <v>5659.884</v>
      </c>
      <c r="AE617">
        <v>1322.0940000000001</v>
      </c>
      <c r="AF617">
        <v>0.23359029973052453</v>
      </c>
      <c r="AG617" t="s">
        <v>2829</v>
      </c>
      <c r="AH617">
        <v>2024</v>
      </c>
      <c r="AI617" t="s">
        <v>2835</v>
      </c>
    </row>
    <row r="618" spans="1:35">
      <c r="A618" t="s">
        <v>1938</v>
      </c>
      <c r="B618">
        <v>45520</v>
      </c>
      <c r="C618">
        <v>45523</v>
      </c>
      <c r="D618" t="s">
        <v>1939</v>
      </c>
      <c r="E618" t="s">
        <v>264</v>
      </c>
      <c r="F618" t="s">
        <v>24</v>
      </c>
      <c r="G618" t="s">
        <v>54</v>
      </c>
      <c r="H618" t="s">
        <v>55</v>
      </c>
      <c r="I618" t="s">
        <v>56</v>
      </c>
      <c r="J618" t="s">
        <v>28</v>
      </c>
      <c r="K618" t="s">
        <v>29</v>
      </c>
      <c r="L618" t="s">
        <v>1940</v>
      </c>
      <c r="M618" t="s">
        <v>59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32</v>
      </c>
      <c r="U618" t="s">
        <v>33</v>
      </c>
      <c r="V618" t="s">
        <v>2834</v>
      </c>
      <c r="W618" t="s">
        <v>2834</v>
      </c>
      <c r="X618" t="s">
        <v>2834</v>
      </c>
      <c r="Y618" t="s">
        <v>2834</v>
      </c>
      <c r="Z618">
        <v>3</v>
      </c>
      <c r="AA618" t="s">
        <v>2789</v>
      </c>
      <c r="AB618">
        <v>0.2</v>
      </c>
      <c r="AC618" t="s">
        <v>2794</v>
      </c>
      <c r="AD618">
        <v>18842.640000000003</v>
      </c>
      <c r="AE618">
        <v>7002.0600000000031</v>
      </c>
      <c r="AF618">
        <v>0.37160716332743193</v>
      </c>
      <c r="AG618" t="s">
        <v>2827</v>
      </c>
      <c r="AH618">
        <v>2024</v>
      </c>
      <c r="AI618" t="s">
        <v>2835</v>
      </c>
    </row>
    <row r="619" spans="1:35">
      <c r="A619" t="s">
        <v>1941</v>
      </c>
      <c r="B619">
        <v>45564</v>
      </c>
      <c r="C619">
        <v>45565</v>
      </c>
      <c r="D619" t="s">
        <v>1942</v>
      </c>
      <c r="E619" t="s">
        <v>36</v>
      </c>
      <c r="F619" t="s">
        <v>95</v>
      </c>
      <c r="G619" t="s">
        <v>54</v>
      </c>
      <c r="H619" t="s">
        <v>55</v>
      </c>
      <c r="I619" t="s">
        <v>56</v>
      </c>
      <c r="J619" t="s">
        <v>74</v>
      </c>
      <c r="K619" t="s">
        <v>171</v>
      </c>
      <c r="L619" t="s">
        <v>1943</v>
      </c>
      <c r="M619" t="s">
        <v>59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32</v>
      </c>
      <c r="U619" t="s">
        <v>33</v>
      </c>
      <c r="V619" t="s">
        <v>2834</v>
      </c>
      <c r="W619" t="s">
        <v>2834</v>
      </c>
      <c r="X619" t="s">
        <v>2834</v>
      </c>
      <c r="Y619" t="s">
        <v>2834</v>
      </c>
      <c r="Z619">
        <v>1</v>
      </c>
      <c r="AA619" t="s">
        <v>2789</v>
      </c>
      <c r="AB619">
        <v>0</v>
      </c>
      <c r="AC619" t="s">
        <v>2794</v>
      </c>
      <c r="AD619">
        <v>24677.19</v>
      </c>
      <c r="AE619">
        <v>4326.34</v>
      </c>
      <c r="AF619">
        <v>0.17531736798233513</v>
      </c>
      <c r="AG619" t="s">
        <v>2828</v>
      </c>
      <c r="AH619">
        <v>2024</v>
      </c>
      <c r="AI619" t="s">
        <v>2835</v>
      </c>
    </row>
    <row r="620" spans="1:35">
      <c r="A620" t="s">
        <v>1944</v>
      </c>
      <c r="B620">
        <v>45496</v>
      </c>
      <c r="C620">
        <v>45503</v>
      </c>
      <c r="D620" t="s">
        <v>1945</v>
      </c>
      <c r="E620" t="s">
        <v>264</v>
      </c>
      <c r="F620" t="s">
        <v>90</v>
      </c>
      <c r="G620" t="s">
        <v>25</v>
      </c>
      <c r="H620" t="s">
        <v>26</v>
      </c>
      <c r="I620" t="s">
        <v>27</v>
      </c>
      <c r="J620" t="s">
        <v>41</v>
      </c>
      <c r="K620" t="s">
        <v>42</v>
      </c>
      <c r="L620" t="s">
        <v>1946</v>
      </c>
      <c r="M620" t="s">
        <v>44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155</v>
      </c>
      <c r="U620" t="s">
        <v>68</v>
      </c>
      <c r="V620" t="s">
        <v>2834</v>
      </c>
      <c r="W620" t="s">
        <v>2834</v>
      </c>
      <c r="X620" t="s">
        <v>2834</v>
      </c>
      <c r="Y620" t="s">
        <v>2834</v>
      </c>
      <c r="Z620">
        <v>7</v>
      </c>
      <c r="AA620" t="s">
        <v>2789</v>
      </c>
      <c r="AB620">
        <v>0.25</v>
      </c>
      <c r="AC620" t="s">
        <v>2794</v>
      </c>
      <c r="AD620">
        <v>12623.242499999998</v>
      </c>
      <c r="AE620">
        <v>2082.4424999999992</v>
      </c>
      <c r="AF620">
        <v>0.16496890557239943</v>
      </c>
      <c r="AG620" t="s">
        <v>2826</v>
      </c>
      <c r="AH620">
        <v>2024</v>
      </c>
      <c r="AI620" t="s">
        <v>2835</v>
      </c>
    </row>
    <row r="621" spans="1:35">
      <c r="A621" t="s">
        <v>1947</v>
      </c>
      <c r="B621">
        <v>45618</v>
      </c>
      <c r="C621">
        <v>45623</v>
      </c>
      <c r="D621" t="s">
        <v>1948</v>
      </c>
      <c r="E621" t="s">
        <v>114</v>
      </c>
      <c r="F621" t="s">
        <v>90</v>
      </c>
      <c r="G621" t="s">
        <v>54</v>
      </c>
      <c r="H621" t="s">
        <v>247</v>
      </c>
      <c r="I621" t="s">
        <v>248</v>
      </c>
      <c r="J621" t="s">
        <v>28</v>
      </c>
      <c r="K621" t="s">
        <v>153</v>
      </c>
      <c r="L621" t="s">
        <v>1949</v>
      </c>
      <c r="M621" t="s">
        <v>50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102</v>
      </c>
      <c r="U621" t="s">
        <v>103</v>
      </c>
      <c r="V621" t="s">
        <v>2834</v>
      </c>
      <c r="W621" t="s">
        <v>2834</v>
      </c>
      <c r="X621" t="s">
        <v>2834</v>
      </c>
      <c r="Y621" t="s">
        <v>2834</v>
      </c>
      <c r="Z621">
        <v>5</v>
      </c>
      <c r="AA621" t="s">
        <v>2789</v>
      </c>
      <c r="AB621">
        <v>0.2</v>
      </c>
      <c r="AC621" t="s">
        <v>2794</v>
      </c>
      <c r="AD621">
        <v>3401.0080000000003</v>
      </c>
      <c r="AE621">
        <v>483.4680000000003</v>
      </c>
      <c r="AF621">
        <v>0.14215432601158254</v>
      </c>
      <c r="AG621" t="s">
        <v>2830</v>
      </c>
      <c r="AH621">
        <v>2024</v>
      </c>
      <c r="AI621" t="s">
        <v>2835</v>
      </c>
    </row>
    <row r="622" spans="1:35">
      <c r="A622" t="s">
        <v>1950</v>
      </c>
      <c r="B622">
        <v>45522</v>
      </c>
      <c r="C622">
        <v>45525</v>
      </c>
      <c r="D622" t="s">
        <v>1951</v>
      </c>
      <c r="E622" t="s">
        <v>71</v>
      </c>
      <c r="F622" t="s">
        <v>24</v>
      </c>
      <c r="G622" t="s">
        <v>25</v>
      </c>
      <c r="H622" t="s">
        <v>136</v>
      </c>
      <c r="I622" t="s">
        <v>137</v>
      </c>
      <c r="J622" t="s">
        <v>74</v>
      </c>
      <c r="K622" t="s">
        <v>274</v>
      </c>
      <c r="L622" t="s">
        <v>1952</v>
      </c>
      <c r="M622" t="s">
        <v>59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32</v>
      </c>
      <c r="U622" t="s">
        <v>33</v>
      </c>
      <c r="V622" t="s">
        <v>2834</v>
      </c>
      <c r="W622" t="s">
        <v>2834</v>
      </c>
      <c r="X622" t="s">
        <v>2834</v>
      </c>
      <c r="Y622" t="s">
        <v>2834</v>
      </c>
      <c r="Z622">
        <v>3</v>
      </c>
      <c r="AA622" t="s">
        <v>2789</v>
      </c>
      <c r="AB622">
        <v>0</v>
      </c>
      <c r="AC622" t="s">
        <v>2794</v>
      </c>
      <c r="AD622">
        <v>6609.06</v>
      </c>
      <c r="AE622">
        <v>1662.2800000000007</v>
      </c>
      <c r="AF622">
        <v>0.25151534408826681</v>
      </c>
      <c r="AG622" t="s">
        <v>2827</v>
      </c>
      <c r="AH622">
        <v>2024</v>
      </c>
      <c r="AI622" t="s">
        <v>2835</v>
      </c>
    </row>
    <row r="623" spans="1:35">
      <c r="A623" t="s">
        <v>1953</v>
      </c>
      <c r="B623">
        <v>45624</v>
      </c>
      <c r="C623">
        <v>45632</v>
      </c>
      <c r="D623" t="s">
        <v>1954</v>
      </c>
      <c r="E623" t="s">
        <v>89</v>
      </c>
      <c r="F623" t="s">
        <v>24</v>
      </c>
      <c r="G623" t="s">
        <v>63</v>
      </c>
      <c r="H623" t="s">
        <v>64</v>
      </c>
      <c r="I623" t="s">
        <v>65</v>
      </c>
      <c r="J623" t="s">
        <v>41</v>
      </c>
      <c r="K623" t="s">
        <v>66</v>
      </c>
      <c r="L623" t="s">
        <v>1955</v>
      </c>
      <c r="M623" t="s">
        <v>44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32</v>
      </c>
      <c r="U623" t="s">
        <v>33</v>
      </c>
      <c r="V623" t="s">
        <v>2834</v>
      </c>
      <c r="W623" t="s">
        <v>2834</v>
      </c>
      <c r="X623" t="s">
        <v>2834</v>
      </c>
      <c r="Y623" t="s">
        <v>2834</v>
      </c>
      <c r="Z623">
        <v>8</v>
      </c>
      <c r="AA623" t="s">
        <v>2789</v>
      </c>
      <c r="AB623">
        <v>0</v>
      </c>
      <c r="AC623" t="s">
        <v>2796</v>
      </c>
      <c r="AD623">
        <v>5464.2</v>
      </c>
      <c r="AE623">
        <v>2146.1099999999997</v>
      </c>
      <c r="AF623">
        <v>0.39275831777753373</v>
      </c>
      <c r="AG623" t="s">
        <v>2830</v>
      </c>
      <c r="AH623">
        <v>2024</v>
      </c>
      <c r="AI623" t="s">
        <v>2838</v>
      </c>
    </row>
    <row r="624" spans="1:35">
      <c r="A624" t="s">
        <v>1956</v>
      </c>
      <c r="B624">
        <v>45686</v>
      </c>
      <c r="C624">
        <v>45694</v>
      </c>
      <c r="D624" t="s">
        <v>1957</v>
      </c>
      <c r="E624" t="s">
        <v>71</v>
      </c>
      <c r="F624" t="s">
        <v>24</v>
      </c>
      <c r="G624" t="s">
        <v>38</v>
      </c>
      <c r="H624" t="s">
        <v>145</v>
      </c>
      <c r="I624" t="s">
        <v>146</v>
      </c>
      <c r="J624" t="s">
        <v>28</v>
      </c>
      <c r="K624" t="s">
        <v>124</v>
      </c>
      <c r="L624" t="s">
        <v>1958</v>
      </c>
      <c r="M624" t="s">
        <v>59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32</v>
      </c>
      <c r="U624" t="s">
        <v>33</v>
      </c>
      <c r="V624" t="s">
        <v>2834</v>
      </c>
      <c r="W624" t="s">
        <v>2834</v>
      </c>
      <c r="X624" t="s">
        <v>2834</v>
      </c>
      <c r="Y624" t="s">
        <v>2834</v>
      </c>
      <c r="Z624">
        <v>8</v>
      </c>
      <c r="AA624" t="s">
        <v>2789</v>
      </c>
      <c r="AB624">
        <v>0.05</v>
      </c>
      <c r="AC624" t="s">
        <v>2794</v>
      </c>
      <c r="AD624">
        <v>10484.238000000001</v>
      </c>
      <c r="AE624">
        <v>3804.0880000000016</v>
      </c>
      <c r="AF624">
        <v>0.36283876806306775</v>
      </c>
      <c r="AG624" t="s">
        <v>2820</v>
      </c>
      <c r="AH624">
        <v>2025</v>
      </c>
      <c r="AI624" t="s">
        <v>2835</v>
      </c>
    </row>
    <row r="625" spans="1:35">
      <c r="A625" t="s">
        <v>1959</v>
      </c>
      <c r="B625">
        <v>45512</v>
      </c>
      <c r="C625">
        <v>45518</v>
      </c>
      <c r="D625" t="s">
        <v>1960</v>
      </c>
      <c r="E625" t="s">
        <v>71</v>
      </c>
      <c r="F625" t="s">
        <v>95</v>
      </c>
      <c r="G625" t="s">
        <v>25</v>
      </c>
      <c r="H625" t="s">
        <v>122</v>
      </c>
      <c r="I625" t="s">
        <v>123</v>
      </c>
      <c r="J625" t="s">
        <v>28</v>
      </c>
      <c r="K625" t="s">
        <v>124</v>
      </c>
      <c r="L625" t="s">
        <v>1961</v>
      </c>
      <c r="M625" t="s">
        <v>31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32</v>
      </c>
      <c r="U625" t="s">
        <v>33</v>
      </c>
      <c r="V625" t="s">
        <v>2834</v>
      </c>
      <c r="W625" t="s">
        <v>2834</v>
      </c>
      <c r="X625" t="s">
        <v>2834</v>
      </c>
      <c r="Y625" t="s">
        <v>2834</v>
      </c>
      <c r="Z625">
        <v>6</v>
      </c>
      <c r="AA625" t="s">
        <v>2789</v>
      </c>
      <c r="AB625">
        <v>0.05</v>
      </c>
      <c r="AC625" t="s">
        <v>2794</v>
      </c>
      <c r="AD625">
        <v>10329.843999999999</v>
      </c>
      <c r="AE625">
        <v>2817.6239999999989</v>
      </c>
      <c r="AF625">
        <v>0.27276539703794161</v>
      </c>
      <c r="AG625" t="s">
        <v>2827</v>
      </c>
      <c r="AH625">
        <v>2024</v>
      </c>
      <c r="AI625" t="s">
        <v>2835</v>
      </c>
    </row>
    <row r="626" spans="1:35">
      <c r="A626" t="s">
        <v>1962</v>
      </c>
      <c r="B626">
        <v>45321</v>
      </c>
      <c r="C626">
        <v>45323</v>
      </c>
      <c r="D626" t="s">
        <v>1963</v>
      </c>
      <c r="E626" t="s">
        <v>79</v>
      </c>
      <c r="F626" t="s">
        <v>95</v>
      </c>
      <c r="G626" t="s">
        <v>38</v>
      </c>
      <c r="H626" t="s">
        <v>166</v>
      </c>
      <c r="I626" t="s">
        <v>167</v>
      </c>
      <c r="J626" t="s">
        <v>41</v>
      </c>
      <c r="K626" t="s">
        <v>66</v>
      </c>
      <c r="L626" t="s">
        <v>1964</v>
      </c>
      <c r="M626" t="s">
        <v>50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32</v>
      </c>
      <c r="U626" t="s">
        <v>33</v>
      </c>
      <c r="V626" t="s">
        <v>2834</v>
      </c>
      <c r="W626" t="s">
        <v>2834</v>
      </c>
      <c r="X626" t="s">
        <v>2834</v>
      </c>
      <c r="Y626" t="s">
        <v>2834</v>
      </c>
      <c r="Z626">
        <v>2</v>
      </c>
      <c r="AA626" t="s">
        <v>2789</v>
      </c>
      <c r="AB626">
        <v>0.05</v>
      </c>
      <c r="AC626" t="s">
        <v>2794</v>
      </c>
      <c r="AD626">
        <v>8456.9569999999985</v>
      </c>
      <c r="AE626">
        <v>2994.1069999999982</v>
      </c>
      <c r="AF626">
        <v>0.35404070282017502</v>
      </c>
      <c r="AG626" t="s">
        <v>2820</v>
      </c>
      <c r="AH626">
        <v>2024</v>
      </c>
      <c r="AI626" t="s">
        <v>2835</v>
      </c>
    </row>
    <row r="627" spans="1:35">
      <c r="A627" t="s">
        <v>1965</v>
      </c>
      <c r="B627">
        <v>45641</v>
      </c>
      <c r="C627">
        <v>45647</v>
      </c>
      <c r="D627" t="s">
        <v>1966</v>
      </c>
      <c r="E627" t="s">
        <v>162</v>
      </c>
      <c r="F627" t="s">
        <v>90</v>
      </c>
      <c r="G627" t="s">
        <v>63</v>
      </c>
      <c r="H627" t="s">
        <v>26</v>
      </c>
      <c r="I627" t="s">
        <v>109</v>
      </c>
      <c r="J627" t="s">
        <v>41</v>
      </c>
      <c r="K627" t="s">
        <v>66</v>
      </c>
      <c r="L627" t="s">
        <v>1967</v>
      </c>
      <c r="M627" t="s">
        <v>44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32</v>
      </c>
      <c r="U627" t="s">
        <v>33</v>
      </c>
      <c r="V627" t="s">
        <v>2834</v>
      </c>
      <c r="W627" t="s">
        <v>2834</v>
      </c>
      <c r="X627" t="s">
        <v>2834</v>
      </c>
      <c r="Y627" t="s">
        <v>2834</v>
      </c>
      <c r="Z627">
        <v>6</v>
      </c>
      <c r="AA627" t="s">
        <v>2789</v>
      </c>
      <c r="AB627">
        <v>0.2</v>
      </c>
      <c r="AC627" t="s">
        <v>2794</v>
      </c>
      <c r="AD627">
        <v>1266.4079999999999</v>
      </c>
      <c r="AE627">
        <v>282.48799999999994</v>
      </c>
      <c r="AF627">
        <v>0.22306239379410109</v>
      </c>
      <c r="AG627" t="s">
        <v>2831</v>
      </c>
      <c r="AH627">
        <v>2024</v>
      </c>
      <c r="AI627" t="s">
        <v>2835</v>
      </c>
    </row>
    <row r="628" spans="1:35">
      <c r="A628" t="s">
        <v>1968</v>
      </c>
      <c r="B628">
        <v>45812</v>
      </c>
      <c r="C628">
        <v>45815</v>
      </c>
      <c r="D628" t="s">
        <v>1969</v>
      </c>
      <c r="E628" t="s">
        <v>132</v>
      </c>
      <c r="F628" t="s">
        <v>95</v>
      </c>
      <c r="G628" t="s">
        <v>38</v>
      </c>
      <c r="H628" t="s">
        <v>166</v>
      </c>
      <c r="I628" t="s">
        <v>167</v>
      </c>
      <c r="J628" t="s">
        <v>74</v>
      </c>
      <c r="K628" t="s">
        <v>274</v>
      </c>
      <c r="L628" t="s">
        <v>1970</v>
      </c>
      <c r="M628" t="s">
        <v>59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111</v>
      </c>
      <c r="U628" t="s">
        <v>103</v>
      </c>
      <c r="V628" t="s">
        <v>2834</v>
      </c>
      <c r="W628" t="s">
        <v>2834</v>
      </c>
      <c r="X628" t="s">
        <v>2834</v>
      </c>
      <c r="Y628" t="s">
        <v>2834</v>
      </c>
      <c r="Z628">
        <v>3</v>
      </c>
      <c r="AA628" t="s">
        <v>2789</v>
      </c>
      <c r="AB628">
        <v>0</v>
      </c>
      <c r="AC628" t="s">
        <v>2794</v>
      </c>
      <c r="AD628">
        <v>11473.04</v>
      </c>
      <c r="AE628">
        <v>2541.7100000000009</v>
      </c>
      <c r="AF628">
        <v>0.22153762211236086</v>
      </c>
      <c r="AG628" t="s">
        <v>2825</v>
      </c>
      <c r="AH628">
        <v>2025</v>
      </c>
      <c r="AI628" t="s">
        <v>2835</v>
      </c>
    </row>
    <row r="629" spans="1:35">
      <c r="A629" t="s">
        <v>1971</v>
      </c>
      <c r="B629">
        <v>45701</v>
      </c>
      <c r="C629">
        <v>45709</v>
      </c>
      <c r="D629" t="s">
        <v>1972</v>
      </c>
      <c r="E629" t="s">
        <v>23</v>
      </c>
      <c r="F629" t="s">
        <v>37</v>
      </c>
      <c r="G629" t="s">
        <v>54</v>
      </c>
      <c r="H629" t="s">
        <v>185</v>
      </c>
      <c r="I629" t="s">
        <v>186</v>
      </c>
      <c r="J629" t="s">
        <v>74</v>
      </c>
      <c r="K629" t="s">
        <v>171</v>
      </c>
      <c r="L629" t="s">
        <v>1973</v>
      </c>
      <c r="M629" t="s">
        <v>31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111</v>
      </c>
      <c r="U629" t="s">
        <v>68</v>
      </c>
      <c r="V629" t="s">
        <v>2834</v>
      </c>
      <c r="W629" t="s">
        <v>2834</v>
      </c>
      <c r="X629" t="s">
        <v>2834</v>
      </c>
      <c r="Y629" t="s">
        <v>2834</v>
      </c>
      <c r="Z629">
        <v>8</v>
      </c>
      <c r="AA629" t="s">
        <v>2789</v>
      </c>
      <c r="AB629">
        <v>0.15</v>
      </c>
      <c r="AC629" t="s">
        <v>2794</v>
      </c>
      <c r="AD629">
        <v>4012.0339999999997</v>
      </c>
      <c r="AE629">
        <v>869.11399999999958</v>
      </c>
      <c r="AF629">
        <v>0.21662677833737193</v>
      </c>
      <c r="AG629" t="s">
        <v>2821</v>
      </c>
      <c r="AH629">
        <v>2025</v>
      </c>
      <c r="AI629" t="s">
        <v>2835</v>
      </c>
    </row>
    <row r="630" spans="1:35">
      <c r="A630" t="s">
        <v>1974</v>
      </c>
      <c r="B630">
        <v>45935</v>
      </c>
      <c r="C630">
        <v>45942</v>
      </c>
      <c r="D630" t="s">
        <v>1975</v>
      </c>
      <c r="E630" t="s">
        <v>62</v>
      </c>
      <c r="F630" t="s">
        <v>95</v>
      </c>
      <c r="G630" t="s">
        <v>38</v>
      </c>
      <c r="H630" t="s">
        <v>228</v>
      </c>
      <c r="I630" t="s">
        <v>229</v>
      </c>
      <c r="J630" t="s">
        <v>74</v>
      </c>
      <c r="K630" t="s">
        <v>75</v>
      </c>
      <c r="L630" t="s">
        <v>1976</v>
      </c>
      <c r="M630" t="s">
        <v>44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32</v>
      </c>
      <c r="U630" t="s">
        <v>33</v>
      </c>
      <c r="V630" t="s">
        <v>2834</v>
      </c>
      <c r="W630" t="s">
        <v>2834</v>
      </c>
      <c r="X630" t="s">
        <v>2834</v>
      </c>
      <c r="Y630" t="s">
        <v>2834</v>
      </c>
      <c r="Z630">
        <v>7</v>
      </c>
      <c r="AA630" t="s">
        <v>2789</v>
      </c>
      <c r="AB630">
        <v>0.05</v>
      </c>
      <c r="AC630" t="s">
        <v>2794</v>
      </c>
      <c r="AD630">
        <v>5364.3554999999997</v>
      </c>
      <c r="AE630">
        <v>973.0654999999997</v>
      </c>
      <c r="AF630">
        <v>0.18139467080434915</v>
      </c>
      <c r="AG630" t="s">
        <v>2829</v>
      </c>
      <c r="AH630">
        <v>2025</v>
      </c>
      <c r="AI630" t="s">
        <v>2835</v>
      </c>
    </row>
    <row r="631" spans="1:35">
      <c r="A631" t="s">
        <v>1977</v>
      </c>
      <c r="B631">
        <v>45910</v>
      </c>
      <c r="C631">
        <v>45914</v>
      </c>
      <c r="D631" t="s">
        <v>1978</v>
      </c>
      <c r="E631" t="s">
        <v>53</v>
      </c>
      <c r="F631" t="s">
        <v>95</v>
      </c>
      <c r="G631" t="s">
        <v>63</v>
      </c>
      <c r="H631" t="s">
        <v>180</v>
      </c>
      <c r="I631" t="s">
        <v>181</v>
      </c>
      <c r="J631" t="s">
        <v>41</v>
      </c>
      <c r="K631" t="s">
        <v>42</v>
      </c>
      <c r="L631" t="s">
        <v>1979</v>
      </c>
      <c r="M631" t="s">
        <v>44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32</v>
      </c>
      <c r="U631" t="s">
        <v>33</v>
      </c>
      <c r="V631" t="s">
        <v>2834</v>
      </c>
      <c r="W631" t="s">
        <v>2834</v>
      </c>
      <c r="X631" t="s">
        <v>2834</v>
      </c>
      <c r="Y631" t="s">
        <v>2834</v>
      </c>
      <c r="Z631">
        <v>4</v>
      </c>
      <c r="AA631" t="s">
        <v>2789</v>
      </c>
      <c r="AB631">
        <v>0.15</v>
      </c>
      <c r="AC631" t="s">
        <v>2794</v>
      </c>
      <c r="AD631">
        <v>10706.073</v>
      </c>
      <c r="AE631">
        <v>4778.973</v>
      </c>
      <c r="AF631">
        <v>0.44637963892082555</v>
      </c>
      <c r="AG631" t="s">
        <v>2828</v>
      </c>
      <c r="AH631">
        <v>2025</v>
      </c>
      <c r="AI631" t="s">
        <v>2835</v>
      </c>
    </row>
    <row r="632" spans="1:35">
      <c r="A632" t="s">
        <v>1980</v>
      </c>
      <c r="B632">
        <v>45391</v>
      </c>
      <c r="C632">
        <v>45392</v>
      </c>
      <c r="D632" t="s">
        <v>1981</v>
      </c>
      <c r="E632" t="s">
        <v>114</v>
      </c>
      <c r="F632" t="s">
        <v>90</v>
      </c>
      <c r="G632" t="s">
        <v>38</v>
      </c>
      <c r="H632" t="s">
        <v>166</v>
      </c>
      <c r="I632" t="s">
        <v>167</v>
      </c>
      <c r="J632" t="s">
        <v>28</v>
      </c>
      <c r="K632" t="s">
        <v>29</v>
      </c>
      <c r="L632" t="s">
        <v>1982</v>
      </c>
      <c r="M632" t="s">
        <v>59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32</v>
      </c>
      <c r="U632" t="s">
        <v>33</v>
      </c>
      <c r="V632" t="s">
        <v>2834</v>
      </c>
      <c r="W632" t="s">
        <v>2834</v>
      </c>
      <c r="X632" t="s">
        <v>2834</v>
      </c>
      <c r="Y632" t="s">
        <v>2834</v>
      </c>
      <c r="Z632">
        <v>1</v>
      </c>
      <c r="AA632" t="s">
        <v>2789</v>
      </c>
      <c r="AB632">
        <v>0.1</v>
      </c>
      <c r="AC632" t="s">
        <v>2794</v>
      </c>
      <c r="AD632">
        <v>10969.380000000001</v>
      </c>
      <c r="AE632">
        <v>1714.9200000000019</v>
      </c>
      <c r="AF632">
        <v>0.15633700354988173</v>
      </c>
      <c r="AG632" t="s">
        <v>2823</v>
      </c>
      <c r="AH632">
        <v>2024</v>
      </c>
      <c r="AI632" t="s">
        <v>2835</v>
      </c>
    </row>
    <row r="633" spans="1:35">
      <c r="A633" t="s">
        <v>1983</v>
      </c>
      <c r="B633">
        <v>45392</v>
      </c>
      <c r="C633">
        <v>45397</v>
      </c>
      <c r="D633" t="s">
        <v>1984</v>
      </c>
      <c r="E633" t="s">
        <v>128</v>
      </c>
      <c r="F633" t="s">
        <v>95</v>
      </c>
      <c r="G633" t="s">
        <v>63</v>
      </c>
      <c r="H633" t="s">
        <v>26</v>
      </c>
      <c r="I633" t="s">
        <v>109</v>
      </c>
      <c r="J633" t="s">
        <v>41</v>
      </c>
      <c r="K633" t="s">
        <v>66</v>
      </c>
      <c r="L633" t="s">
        <v>1985</v>
      </c>
      <c r="M633" t="s">
        <v>59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32</v>
      </c>
      <c r="U633" t="s">
        <v>33</v>
      </c>
      <c r="V633" t="s">
        <v>2834</v>
      </c>
      <c r="W633" t="s">
        <v>2834</v>
      </c>
      <c r="X633" t="s">
        <v>2834</v>
      </c>
      <c r="Y633" t="s">
        <v>2834</v>
      </c>
      <c r="Z633">
        <v>5</v>
      </c>
      <c r="AA633" t="s">
        <v>2789</v>
      </c>
      <c r="AB633">
        <v>0.1</v>
      </c>
      <c r="AC633" t="s">
        <v>2794</v>
      </c>
      <c r="AD633">
        <v>31409.855999999996</v>
      </c>
      <c r="AE633">
        <v>8886.3159999999953</v>
      </c>
      <c r="AF633">
        <v>0.2829148914277097</v>
      </c>
      <c r="AG633" t="s">
        <v>2823</v>
      </c>
      <c r="AH633">
        <v>2024</v>
      </c>
      <c r="AI633" t="s">
        <v>2835</v>
      </c>
    </row>
    <row r="634" spans="1:35">
      <c r="A634" t="s">
        <v>1986</v>
      </c>
      <c r="B634">
        <v>45762</v>
      </c>
      <c r="C634">
        <v>45763</v>
      </c>
      <c r="D634" t="s">
        <v>1987</v>
      </c>
      <c r="E634" t="s">
        <v>132</v>
      </c>
      <c r="F634" t="s">
        <v>37</v>
      </c>
      <c r="G634" t="s">
        <v>54</v>
      </c>
      <c r="H634" t="s">
        <v>175</v>
      </c>
      <c r="I634" t="s">
        <v>176</v>
      </c>
      <c r="J634" t="s">
        <v>41</v>
      </c>
      <c r="K634" t="s">
        <v>57</v>
      </c>
      <c r="L634" t="s">
        <v>1988</v>
      </c>
      <c r="M634" t="s">
        <v>50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32</v>
      </c>
      <c r="U634" t="s">
        <v>33</v>
      </c>
      <c r="V634" t="s">
        <v>2834</v>
      </c>
      <c r="W634" t="s">
        <v>2834</v>
      </c>
      <c r="X634" t="s">
        <v>2834</v>
      </c>
      <c r="Y634" t="s">
        <v>2834</v>
      </c>
      <c r="Z634">
        <v>1</v>
      </c>
      <c r="AA634" t="s">
        <v>2789</v>
      </c>
      <c r="AB634">
        <v>0</v>
      </c>
      <c r="AC634" t="s">
        <v>2794</v>
      </c>
      <c r="AD634">
        <v>14252.650000000001</v>
      </c>
      <c r="AE634">
        <v>2694.340000000002</v>
      </c>
      <c r="AF634">
        <v>0.18904133617257154</v>
      </c>
      <c r="AG634" t="s">
        <v>2823</v>
      </c>
      <c r="AH634">
        <v>2025</v>
      </c>
      <c r="AI634" t="s">
        <v>2835</v>
      </c>
    </row>
    <row r="635" spans="1:35">
      <c r="A635" t="s">
        <v>1989</v>
      </c>
      <c r="B635">
        <v>45765</v>
      </c>
      <c r="C635">
        <v>45767</v>
      </c>
      <c r="D635" t="s">
        <v>1990</v>
      </c>
      <c r="E635" t="s">
        <v>128</v>
      </c>
      <c r="F635" t="s">
        <v>37</v>
      </c>
      <c r="G635" t="s">
        <v>54</v>
      </c>
      <c r="H635" t="s">
        <v>247</v>
      </c>
      <c r="I635" t="s">
        <v>248</v>
      </c>
      <c r="J635" t="s">
        <v>74</v>
      </c>
      <c r="K635" t="s">
        <v>75</v>
      </c>
      <c r="L635" t="s">
        <v>1991</v>
      </c>
      <c r="M635" t="s">
        <v>31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32</v>
      </c>
      <c r="U635" t="s">
        <v>33</v>
      </c>
      <c r="V635" t="s">
        <v>2834</v>
      </c>
      <c r="W635" t="s">
        <v>2834</v>
      </c>
      <c r="X635" t="s">
        <v>2834</v>
      </c>
      <c r="Y635" t="s">
        <v>2834</v>
      </c>
      <c r="Z635">
        <v>2</v>
      </c>
      <c r="AA635" t="s">
        <v>2789</v>
      </c>
      <c r="AB635">
        <v>0.15</v>
      </c>
      <c r="AC635" t="s">
        <v>2794</v>
      </c>
      <c r="AD635">
        <v>1382.1679999999999</v>
      </c>
      <c r="AE635">
        <v>572.13799999999992</v>
      </c>
      <c r="AF635">
        <v>0.4139424440444287</v>
      </c>
      <c r="AG635" t="s">
        <v>2823</v>
      </c>
      <c r="AH635">
        <v>2025</v>
      </c>
      <c r="AI635" t="s">
        <v>2835</v>
      </c>
    </row>
    <row r="636" spans="1:35">
      <c r="A636" t="s">
        <v>1992</v>
      </c>
      <c r="B636">
        <v>45668</v>
      </c>
      <c r="C636">
        <v>45669</v>
      </c>
      <c r="D636" t="s">
        <v>1993</v>
      </c>
      <c r="E636" t="s">
        <v>89</v>
      </c>
      <c r="F636" t="s">
        <v>24</v>
      </c>
      <c r="G636" t="s">
        <v>54</v>
      </c>
      <c r="H636" t="s">
        <v>55</v>
      </c>
      <c r="I636" t="s">
        <v>56</v>
      </c>
      <c r="J636" t="s">
        <v>41</v>
      </c>
      <c r="K636" t="s">
        <v>66</v>
      </c>
      <c r="L636" t="s">
        <v>1994</v>
      </c>
      <c r="M636" t="s">
        <v>31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32</v>
      </c>
      <c r="U636" t="s">
        <v>33</v>
      </c>
      <c r="V636" t="s">
        <v>2834</v>
      </c>
      <c r="W636" t="s">
        <v>2834</v>
      </c>
      <c r="X636" t="s">
        <v>2834</v>
      </c>
      <c r="Y636" t="s">
        <v>2834</v>
      </c>
      <c r="Z636">
        <v>1</v>
      </c>
      <c r="AA636" t="s">
        <v>2789</v>
      </c>
      <c r="AB636">
        <v>0.05</v>
      </c>
      <c r="AC636" t="s">
        <v>2794</v>
      </c>
      <c r="AD636">
        <v>9223.17</v>
      </c>
      <c r="AE636">
        <v>4119.47</v>
      </c>
      <c r="AF636">
        <v>0.44664361602355807</v>
      </c>
      <c r="AG636" t="s">
        <v>2820</v>
      </c>
      <c r="AH636">
        <v>2025</v>
      </c>
      <c r="AI636" t="s">
        <v>2835</v>
      </c>
    </row>
    <row r="637" spans="1:35">
      <c r="A637" t="s">
        <v>1995</v>
      </c>
      <c r="B637">
        <v>45432</v>
      </c>
      <c r="C637">
        <v>45437</v>
      </c>
      <c r="D637" t="s">
        <v>1996</v>
      </c>
      <c r="E637" t="s">
        <v>36</v>
      </c>
      <c r="F637" t="s">
        <v>90</v>
      </c>
      <c r="G637" t="s">
        <v>54</v>
      </c>
      <c r="H637" t="s">
        <v>84</v>
      </c>
      <c r="I637" t="s">
        <v>85</v>
      </c>
      <c r="J637" t="s">
        <v>41</v>
      </c>
      <c r="K637" t="s">
        <v>66</v>
      </c>
      <c r="L637" t="s">
        <v>1997</v>
      </c>
      <c r="M637" t="s">
        <v>44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32</v>
      </c>
      <c r="U637" t="s">
        <v>33</v>
      </c>
      <c r="V637" t="s">
        <v>2834</v>
      </c>
      <c r="W637" t="s">
        <v>2834</v>
      </c>
      <c r="X637" t="s">
        <v>2834</v>
      </c>
      <c r="Y637" t="s">
        <v>2834</v>
      </c>
      <c r="Z637">
        <v>5</v>
      </c>
      <c r="AA637" t="s">
        <v>2789</v>
      </c>
      <c r="AB637">
        <v>0.25</v>
      </c>
      <c r="AC637" t="s">
        <v>2794</v>
      </c>
      <c r="AD637">
        <v>16394.962500000001</v>
      </c>
      <c r="AE637">
        <v>5990.7925000000014</v>
      </c>
      <c r="AF637">
        <v>0.36540446493854445</v>
      </c>
      <c r="AG637" t="s">
        <v>2824</v>
      </c>
      <c r="AH637">
        <v>2024</v>
      </c>
      <c r="AI637" t="s">
        <v>2835</v>
      </c>
    </row>
    <row r="638" spans="1:35">
      <c r="A638" t="s">
        <v>1998</v>
      </c>
      <c r="B638">
        <v>45567</v>
      </c>
      <c r="C638">
        <v>45574</v>
      </c>
      <c r="D638" t="s">
        <v>1999</v>
      </c>
      <c r="E638" t="s">
        <v>62</v>
      </c>
      <c r="F638" t="s">
        <v>24</v>
      </c>
      <c r="G638" t="s">
        <v>54</v>
      </c>
      <c r="H638" t="s">
        <v>247</v>
      </c>
      <c r="I638" t="s">
        <v>248</v>
      </c>
      <c r="J638" t="s">
        <v>28</v>
      </c>
      <c r="K638" t="s">
        <v>29</v>
      </c>
      <c r="L638" t="s">
        <v>2000</v>
      </c>
      <c r="M638" t="s">
        <v>59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32</v>
      </c>
      <c r="U638" t="s">
        <v>33</v>
      </c>
      <c r="V638" t="s">
        <v>2834</v>
      </c>
      <c r="W638" t="s">
        <v>2834</v>
      </c>
      <c r="X638" t="s">
        <v>2834</v>
      </c>
      <c r="Y638" t="s">
        <v>2834</v>
      </c>
      <c r="Z638">
        <v>7</v>
      </c>
      <c r="AA638" t="s">
        <v>2789</v>
      </c>
      <c r="AB638">
        <v>0.15</v>
      </c>
      <c r="AC638" t="s">
        <v>2794</v>
      </c>
      <c r="AD638">
        <v>12990.108</v>
      </c>
      <c r="AE638">
        <v>2789.3080000000009</v>
      </c>
      <c r="AF638">
        <v>0.2147255434673831</v>
      </c>
      <c r="AG638" t="s">
        <v>2829</v>
      </c>
      <c r="AH638">
        <v>2024</v>
      </c>
      <c r="AI638" t="s">
        <v>2835</v>
      </c>
    </row>
    <row r="639" spans="1:35">
      <c r="A639" t="s">
        <v>2001</v>
      </c>
      <c r="B639">
        <v>45438</v>
      </c>
      <c r="C639">
        <v>45438</v>
      </c>
      <c r="D639" t="s">
        <v>2002</v>
      </c>
      <c r="E639" t="s">
        <v>118</v>
      </c>
      <c r="F639" t="s">
        <v>37</v>
      </c>
      <c r="G639" t="s">
        <v>63</v>
      </c>
      <c r="H639" t="s">
        <v>190</v>
      </c>
      <c r="I639" t="s">
        <v>191</v>
      </c>
      <c r="J639" t="s">
        <v>74</v>
      </c>
      <c r="K639" t="s">
        <v>80</v>
      </c>
      <c r="L639" t="s">
        <v>2003</v>
      </c>
      <c r="M639" t="s">
        <v>50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32</v>
      </c>
      <c r="U639" t="s">
        <v>33</v>
      </c>
      <c r="V639" t="s">
        <v>2834</v>
      </c>
      <c r="W639" t="s">
        <v>2834</v>
      </c>
      <c r="X639" t="s">
        <v>2834</v>
      </c>
      <c r="Y639" t="s">
        <v>2834</v>
      </c>
      <c r="Z639">
        <v>0</v>
      </c>
      <c r="AA639" t="s">
        <v>2789</v>
      </c>
      <c r="AB639">
        <v>0.2</v>
      </c>
      <c r="AC639" t="s">
        <v>2794</v>
      </c>
      <c r="AD639">
        <v>5107.9520000000002</v>
      </c>
      <c r="AE639">
        <v>1974.8720000000003</v>
      </c>
      <c r="AF639">
        <v>0.38662696908663202</v>
      </c>
      <c r="AG639" t="s">
        <v>2824</v>
      </c>
      <c r="AH639">
        <v>2024</v>
      </c>
      <c r="AI639" t="s">
        <v>2835</v>
      </c>
    </row>
    <row r="640" spans="1:35">
      <c r="A640" t="s">
        <v>2004</v>
      </c>
      <c r="B640">
        <v>45317</v>
      </c>
      <c r="C640">
        <v>45322</v>
      </c>
      <c r="D640" t="s">
        <v>2005</v>
      </c>
      <c r="E640" t="s">
        <v>23</v>
      </c>
      <c r="F640" t="s">
        <v>90</v>
      </c>
      <c r="G640" t="s">
        <v>54</v>
      </c>
      <c r="H640" t="s">
        <v>185</v>
      </c>
      <c r="I640" t="s">
        <v>186</v>
      </c>
      <c r="J640" t="s">
        <v>28</v>
      </c>
      <c r="K640" t="s">
        <v>124</v>
      </c>
      <c r="L640" t="s">
        <v>2006</v>
      </c>
      <c r="M640" t="s">
        <v>31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155</v>
      </c>
      <c r="U640" t="s">
        <v>103</v>
      </c>
      <c r="V640" t="s">
        <v>2834</v>
      </c>
      <c r="W640" t="s">
        <v>2834</v>
      </c>
      <c r="X640" t="s">
        <v>2834</v>
      </c>
      <c r="Y640" t="s">
        <v>2834</v>
      </c>
      <c r="Z640">
        <v>5</v>
      </c>
      <c r="AA640" t="s">
        <v>2789</v>
      </c>
      <c r="AB640">
        <v>0.2</v>
      </c>
      <c r="AC640" t="s">
        <v>2794</v>
      </c>
      <c r="AD640">
        <v>7738.3680000000013</v>
      </c>
      <c r="AE640">
        <v>3111.5180000000009</v>
      </c>
      <c r="AF640">
        <v>0.40208969126306743</v>
      </c>
      <c r="AG640" t="s">
        <v>2820</v>
      </c>
      <c r="AH640">
        <v>2024</v>
      </c>
      <c r="AI640" t="s">
        <v>2835</v>
      </c>
    </row>
    <row r="641" spans="1:35">
      <c r="A641" t="s">
        <v>2007</v>
      </c>
      <c r="B641">
        <v>45653</v>
      </c>
      <c r="C641">
        <v>45657</v>
      </c>
      <c r="D641" t="s">
        <v>2008</v>
      </c>
      <c r="E641" t="s">
        <v>47</v>
      </c>
      <c r="F641" t="s">
        <v>37</v>
      </c>
      <c r="G641" t="s">
        <v>38</v>
      </c>
      <c r="H641" t="s">
        <v>39</v>
      </c>
      <c r="I641" t="s">
        <v>40</v>
      </c>
      <c r="J641" t="s">
        <v>41</v>
      </c>
      <c r="K641" t="s">
        <v>66</v>
      </c>
      <c r="L641" t="s">
        <v>2009</v>
      </c>
      <c r="M641" t="s">
        <v>31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32</v>
      </c>
      <c r="U641" t="s">
        <v>33</v>
      </c>
      <c r="V641" t="s">
        <v>2834</v>
      </c>
      <c r="W641" t="s">
        <v>2834</v>
      </c>
      <c r="X641" t="s">
        <v>2834</v>
      </c>
      <c r="Y641" t="s">
        <v>2834</v>
      </c>
      <c r="Z641">
        <v>4</v>
      </c>
      <c r="AA641" t="s">
        <v>2789</v>
      </c>
      <c r="AB641">
        <v>0.05</v>
      </c>
      <c r="AC641" t="s">
        <v>2794</v>
      </c>
      <c r="AD641">
        <v>1514.9649999999999</v>
      </c>
      <c r="AE641">
        <v>468.79499999999985</v>
      </c>
      <c r="AF641">
        <v>0.3094427924077453</v>
      </c>
      <c r="AG641" t="s">
        <v>2831</v>
      </c>
      <c r="AH641">
        <v>2024</v>
      </c>
      <c r="AI641" t="s">
        <v>2835</v>
      </c>
    </row>
    <row r="642" spans="1:35">
      <c r="A642" t="s">
        <v>2010</v>
      </c>
      <c r="B642">
        <v>45671</v>
      </c>
      <c r="C642">
        <v>45674</v>
      </c>
      <c r="D642" t="s">
        <v>2011</v>
      </c>
      <c r="E642" t="s">
        <v>71</v>
      </c>
      <c r="F642" t="s">
        <v>24</v>
      </c>
      <c r="G642" t="s">
        <v>63</v>
      </c>
      <c r="H642" t="s">
        <v>190</v>
      </c>
      <c r="I642" t="s">
        <v>191</v>
      </c>
      <c r="J642" t="s">
        <v>28</v>
      </c>
      <c r="K642" t="s">
        <v>124</v>
      </c>
      <c r="L642" t="s">
        <v>2012</v>
      </c>
      <c r="M642" t="s">
        <v>50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32</v>
      </c>
      <c r="U642" t="s">
        <v>33</v>
      </c>
      <c r="V642" t="s">
        <v>2834</v>
      </c>
      <c r="W642" t="s">
        <v>2834</v>
      </c>
      <c r="X642" t="s">
        <v>2834</v>
      </c>
      <c r="Y642" t="s">
        <v>2834</v>
      </c>
      <c r="Z642">
        <v>3</v>
      </c>
      <c r="AA642" t="s">
        <v>2789</v>
      </c>
      <c r="AB642">
        <v>0.2</v>
      </c>
      <c r="AC642" t="s">
        <v>2794</v>
      </c>
      <c r="AD642">
        <v>1267.296</v>
      </c>
      <c r="AE642">
        <v>343.76600000000008</v>
      </c>
      <c r="AF642">
        <v>0.27125943741635739</v>
      </c>
      <c r="AG642" t="s">
        <v>2820</v>
      </c>
      <c r="AH642">
        <v>2025</v>
      </c>
      <c r="AI642" t="s">
        <v>2835</v>
      </c>
    </row>
    <row r="643" spans="1:35">
      <c r="A643" t="s">
        <v>2013</v>
      </c>
      <c r="B643">
        <v>45756</v>
      </c>
      <c r="C643">
        <v>45761</v>
      </c>
      <c r="D643" t="s">
        <v>2014</v>
      </c>
      <c r="E643" t="s">
        <v>23</v>
      </c>
      <c r="F643" t="s">
        <v>24</v>
      </c>
      <c r="G643" t="s">
        <v>25</v>
      </c>
      <c r="H643" t="s">
        <v>350</v>
      </c>
      <c r="I643" t="s">
        <v>351</v>
      </c>
      <c r="J643" t="s">
        <v>41</v>
      </c>
      <c r="K643" t="s">
        <v>57</v>
      </c>
      <c r="L643" t="s">
        <v>2015</v>
      </c>
      <c r="M643" t="s">
        <v>44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32</v>
      </c>
      <c r="U643" t="s">
        <v>33</v>
      </c>
      <c r="V643" t="s">
        <v>2834</v>
      </c>
      <c r="W643" t="s">
        <v>2834</v>
      </c>
      <c r="X643" t="s">
        <v>2834</v>
      </c>
      <c r="Y643" t="s">
        <v>2834</v>
      </c>
      <c r="Z643">
        <v>5</v>
      </c>
      <c r="AA643" t="s">
        <v>2789</v>
      </c>
      <c r="AB643">
        <v>0</v>
      </c>
      <c r="AC643" t="s">
        <v>2794</v>
      </c>
      <c r="AD643">
        <v>6405.74</v>
      </c>
      <c r="AE643">
        <v>2843.87</v>
      </c>
      <c r="AF643">
        <v>0.44395651400150488</v>
      </c>
      <c r="AG643" t="s">
        <v>2823</v>
      </c>
      <c r="AH643">
        <v>2025</v>
      </c>
      <c r="AI643" t="s">
        <v>2835</v>
      </c>
    </row>
    <row r="644" spans="1:35">
      <c r="A644" t="s">
        <v>2016</v>
      </c>
      <c r="B644">
        <v>45533</v>
      </c>
      <c r="C644">
        <v>45535</v>
      </c>
      <c r="D644" t="s">
        <v>2017</v>
      </c>
      <c r="E644" t="s">
        <v>47</v>
      </c>
      <c r="F644" t="s">
        <v>95</v>
      </c>
      <c r="G644" t="s">
        <v>38</v>
      </c>
      <c r="H644" t="s">
        <v>166</v>
      </c>
      <c r="I644" t="s">
        <v>167</v>
      </c>
      <c r="J644" t="s">
        <v>28</v>
      </c>
      <c r="K644" t="s">
        <v>153</v>
      </c>
      <c r="L644" t="s">
        <v>2018</v>
      </c>
      <c r="M644" t="s">
        <v>31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155</v>
      </c>
      <c r="U644" t="s">
        <v>103</v>
      </c>
      <c r="V644" t="s">
        <v>2834</v>
      </c>
      <c r="W644" t="s">
        <v>2834</v>
      </c>
      <c r="X644" t="s">
        <v>2834</v>
      </c>
      <c r="Y644" t="s">
        <v>2834</v>
      </c>
      <c r="Z644">
        <v>2</v>
      </c>
      <c r="AA644" t="s">
        <v>2789</v>
      </c>
      <c r="AB644">
        <v>0.25</v>
      </c>
      <c r="AC644" t="s">
        <v>2794</v>
      </c>
      <c r="AD644">
        <v>8607.6674999999996</v>
      </c>
      <c r="AE644">
        <v>3270.0274999999992</v>
      </c>
      <c r="AF644">
        <v>0.37989705108846261</v>
      </c>
      <c r="AG644" t="s">
        <v>2827</v>
      </c>
      <c r="AH644">
        <v>2024</v>
      </c>
      <c r="AI644" t="s">
        <v>2835</v>
      </c>
    </row>
    <row r="645" spans="1:35">
      <c r="A645" t="s">
        <v>2019</v>
      </c>
      <c r="B645">
        <v>45327</v>
      </c>
      <c r="C645">
        <v>45335</v>
      </c>
      <c r="D645" t="s">
        <v>720</v>
      </c>
      <c r="E645" t="s">
        <v>128</v>
      </c>
      <c r="F645" t="s">
        <v>95</v>
      </c>
      <c r="G645" t="s">
        <v>25</v>
      </c>
      <c r="H645" t="s">
        <v>136</v>
      </c>
      <c r="I645" t="s">
        <v>137</v>
      </c>
      <c r="J645" t="s">
        <v>28</v>
      </c>
      <c r="K645" t="s">
        <v>91</v>
      </c>
      <c r="L645" t="s">
        <v>2020</v>
      </c>
      <c r="M645" t="s">
        <v>59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155</v>
      </c>
      <c r="U645" t="s">
        <v>103</v>
      </c>
      <c r="V645" t="s">
        <v>2834</v>
      </c>
      <c r="W645" t="s">
        <v>2834</v>
      </c>
      <c r="X645" t="s">
        <v>2834</v>
      </c>
      <c r="Y645" t="s">
        <v>2834</v>
      </c>
      <c r="Z645">
        <v>8</v>
      </c>
      <c r="AA645" t="s">
        <v>2789</v>
      </c>
      <c r="AB645">
        <v>0.15</v>
      </c>
      <c r="AC645" t="s">
        <v>2794</v>
      </c>
      <c r="AD645">
        <v>26324.023999999998</v>
      </c>
      <c r="AE645">
        <v>10046.063999999998</v>
      </c>
      <c r="AF645">
        <v>0.3816310150758106</v>
      </c>
      <c r="AG645" t="s">
        <v>2821</v>
      </c>
      <c r="AH645">
        <v>2024</v>
      </c>
      <c r="AI645" t="s">
        <v>2835</v>
      </c>
    </row>
    <row r="646" spans="1:35">
      <c r="A646" t="s">
        <v>2021</v>
      </c>
      <c r="B646">
        <v>45757</v>
      </c>
      <c r="C646">
        <v>45764</v>
      </c>
      <c r="D646" t="s">
        <v>2022</v>
      </c>
      <c r="E646" t="s">
        <v>71</v>
      </c>
      <c r="F646" t="s">
        <v>24</v>
      </c>
      <c r="G646" t="s">
        <v>38</v>
      </c>
      <c r="H646" t="s">
        <v>99</v>
      </c>
      <c r="I646" t="s">
        <v>100</v>
      </c>
      <c r="J646" t="s">
        <v>41</v>
      </c>
      <c r="K646" t="s">
        <v>66</v>
      </c>
      <c r="L646" t="s">
        <v>2023</v>
      </c>
      <c r="M646" t="s">
        <v>59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32</v>
      </c>
      <c r="U646" t="s">
        <v>33</v>
      </c>
      <c r="V646" t="s">
        <v>2834</v>
      </c>
      <c r="W646" t="s">
        <v>2834</v>
      </c>
      <c r="X646" t="s">
        <v>2834</v>
      </c>
      <c r="Y646" t="s">
        <v>2834</v>
      </c>
      <c r="Z646">
        <v>7</v>
      </c>
      <c r="AA646" t="s">
        <v>2789</v>
      </c>
      <c r="AB646">
        <v>0.05</v>
      </c>
      <c r="AC646" t="s">
        <v>2794</v>
      </c>
      <c r="AD646">
        <v>14250.075999999999</v>
      </c>
      <c r="AE646">
        <v>3335.155999999999</v>
      </c>
      <c r="AF646">
        <v>0.23404478684885605</v>
      </c>
      <c r="AG646" t="s">
        <v>2823</v>
      </c>
      <c r="AH646">
        <v>2025</v>
      </c>
      <c r="AI646" t="s">
        <v>2835</v>
      </c>
    </row>
    <row r="647" spans="1:35">
      <c r="A647" t="s">
        <v>2024</v>
      </c>
      <c r="B647">
        <v>45295</v>
      </c>
      <c r="C647">
        <v>45300</v>
      </c>
      <c r="D647" t="s">
        <v>2025</v>
      </c>
      <c r="E647" t="s">
        <v>264</v>
      </c>
      <c r="F647" t="s">
        <v>24</v>
      </c>
      <c r="G647" t="s">
        <v>38</v>
      </c>
      <c r="H647" t="s">
        <v>145</v>
      </c>
      <c r="I647" t="s">
        <v>146</v>
      </c>
      <c r="J647" t="s">
        <v>41</v>
      </c>
      <c r="K647" t="s">
        <v>66</v>
      </c>
      <c r="L647" t="s">
        <v>2026</v>
      </c>
      <c r="M647" t="s">
        <v>31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32</v>
      </c>
      <c r="U647" t="s">
        <v>33</v>
      </c>
      <c r="V647" t="s">
        <v>2834</v>
      </c>
      <c r="W647" t="s">
        <v>2834</v>
      </c>
      <c r="X647" t="s">
        <v>2834</v>
      </c>
      <c r="Y647" t="s">
        <v>2834</v>
      </c>
      <c r="Z647">
        <v>5</v>
      </c>
      <c r="AA647" t="s">
        <v>2789</v>
      </c>
      <c r="AB647">
        <v>0.1</v>
      </c>
      <c r="AC647" t="s">
        <v>2794</v>
      </c>
      <c r="AD647">
        <v>13087.494000000001</v>
      </c>
      <c r="AE647">
        <v>5478.6040000000003</v>
      </c>
      <c r="AF647">
        <v>0.41861367806548755</v>
      </c>
      <c r="AG647" t="s">
        <v>2820</v>
      </c>
      <c r="AH647">
        <v>2024</v>
      </c>
      <c r="AI647" t="s">
        <v>2835</v>
      </c>
    </row>
    <row r="648" spans="1:35">
      <c r="A648" t="s">
        <v>2027</v>
      </c>
      <c r="B648">
        <v>45553</v>
      </c>
      <c r="C648">
        <v>45559</v>
      </c>
      <c r="D648" t="s">
        <v>2028</v>
      </c>
      <c r="E648" t="s">
        <v>71</v>
      </c>
      <c r="F648" t="s">
        <v>37</v>
      </c>
      <c r="G648" t="s">
        <v>38</v>
      </c>
      <c r="H648" t="s">
        <v>228</v>
      </c>
      <c r="I648" t="s">
        <v>229</v>
      </c>
      <c r="J648" t="s">
        <v>74</v>
      </c>
      <c r="K648" t="s">
        <v>274</v>
      </c>
      <c r="L648" t="s">
        <v>2029</v>
      </c>
      <c r="M648" t="s">
        <v>50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32</v>
      </c>
      <c r="U648" t="s">
        <v>33</v>
      </c>
      <c r="V648" t="s">
        <v>2834</v>
      </c>
      <c r="W648" t="s">
        <v>2834</v>
      </c>
      <c r="X648" t="s">
        <v>2834</v>
      </c>
      <c r="Y648" t="s">
        <v>2834</v>
      </c>
      <c r="Z648">
        <v>6</v>
      </c>
      <c r="AA648" t="s">
        <v>2789</v>
      </c>
      <c r="AB648">
        <v>0.25</v>
      </c>
      <c r="AC648" t="s">
        <v>2794</v>
      </c>
      <c r="AD648">
        <v>1640.5650000000001</v>
      </c>
      <c r="AE648">
        <v>503.58500000000004</v>
      </c>
      <c r="AF648">
        <v>0.30695827352162214</v>
      </c>
      <c r="AG648" t="s">
        <v>2828</v>
      </c>
      <c r="AH648">
        <v>2024</v>
      </c>
      <c r="AI648" t="s">
        <v>2835</v>
      </c>
    </row>
    <row r="649" spans="1:35">
      <c r="A649" t="s">
        <v>2030</v>
      </c>
      <c r="B649">
        <v>45658</v>
      </c>
      <c r="C649">
        <v>45666</v>
      </c>
      <c r="D649" t="s">
        <v>2031</v>
      </c>
      <c r="E649" t="s">
        <v>141</v>
      </c>
      <c r="F649" t="s">
        <v>37</v>
      </c>
      <c r="G649" t="s">
        <v>25</v>
      </c>
      <c r="H649" t="s">
        <v>122</v>
      </c>
      <c r="I649" t="s">
        <v>123</v>
      </c>
      <c r="J649" t="s">
        <v>28</v>
      </c>
      <c r="K649" t="s">
        <v>48</v>
      </c>
      <c r="L649" t="s">
        <v>2032</v>
      </c>
      <c r="M649" t="s">
        <v>50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32</v>
      </c>
      <c r="U649" t="s">
        <v>33</v>
      </c>
      <c r="V649" t="s">
        <v>2834</v>
      </c>
      <c r="W649" t="s">
        <v>2834</v>
      </c>
      <c r="X649" t="s">
        <v>2834</v>
      </c>
      <c r="Y649" t="s">
        <v>2834</v>
      </c>
      <c r="Z649">
        <v>8</v>
      </c>
      <c r="AA649" t="s">
        <v>2789</v>
      </c>
      <c r="AB649">
        <v>0.15</v>
      </c>
      <c r="AC649" t="s">
        <v>2794</v>
      </c>
      <c r="AD649">
        <v>14441.907999999999</v>
      </c>
      <c r="AE649">
        <v>3569.018</v>
      </c>
      <c r="AF649">
        <v>0.24712925743606731</v>
      </c>
      <c r="AG649" t="s">
        <v>2820</v>
      </c>
      <c r="AH649">
        <v>2025</v>
      </c>
      <c r="AI649" t="s">
        <v>2835</v>
      </c>
    </row>
    <row r="650" spans="1:35">
      <c r="A650" t="s">
        <v>2033</v>
      </c>
      <c r="B650">
        <v>45403</v>
      </c>
      <c r="C650">
        <v>45406</v>
      </c>
      <c r="D650" t="s">
        <v>2034</v>
      </c>
      <c r="E650" t="s">
        <v>79</v>
      </c>
      <c r="F650" t="s">
        <v>37</v>
      </c>
      <c r="G650" t="s">
        <v>54</v>
      </c>
      <c r="H650" t="s">
        <v>84</v>
      </c>
      <c r="I650" t="s">
        <v>85</v>
      </c>
      <c r="J650" t="s">
        <v>28</v>
      </c>
      <c r="K650" t="s">
        <v>48</v>
      </c>
      <c r="L650" t="s">
        <v>2035</v>
      </c>
      <c r="M650" t="s">
        <v>44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155</v>
      </c>
      <c r="U650" t="s">
        <v>103</v>
      </c>
      <c r="V650" t="s">
        <v>2834</v>
      </c>
      <c r="W650" t="s">
        <v>2834</v>
      </c>
      <c r="X650" t="s">
        <v>2834</v>
      </c>
      <c r="Y650" t="s">
        <v>2834</v>
      </c>
      <c r="Z650">
        <v>3</v>
      </c>
      <c r="AA650" t="s">
        <v>2789</v>
      </c>
      <c r="AB650">
        <v>0.2</v>
      </c>
      <c r="AC650" t="s">
        <v>2794</v>
      </c>
      <c r="AD650">
        <v>5065.8480000000009</v>
      </c>
      <c r="AE650">
        <v>1548.6180000000008</v>
      </c>
      <c r="AF650">
        <v>0.30569768378364304</v>
      </c>
      <c r="AG650" t="s">
        <v>2823</v>
      </c>
      <c r="AH650">
        <v>2024</v>
      </c>
      <c r="AI650" t="s">
        <v>2835</v>
      </c>
    </row>
    <row r="651" spans="1:35">
      <c r="A651" t="s">
        <v>2036</v>
      </c>
      <c r="B651">
        <v>45880</v>
      </c>
      <c r="C651">
        <v>45888</v>
      </c>
      <c r="D651" t="s">
        <v>2037</v>
      </c>
      <c r="E651" t="s">
        <v>264</v>
      </c>
      <c r="F651" t="s">
        <v>37</v>
      </c>
      <c r="G651" t="s">
        <v>54</v>
      </c>
      <c r="H651" t="s">
        <v>185</v>
      </c>
      <c r="I651" t="s">
        <v>186</v>
      </c>
      <c r="J651" t="s">
        <v>74</v>
      </c>
      <c r="K651" t="s">
        <v>75</v>
      </c>
      <c r="L651" t="s">
        <v>2038</v>
      </c>
      <c r="M651" t="s">
        <v>59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32</v>
      </c>
      <c r="U651" t="s">
        <v>33</v>
      </c>
      <c r="V651" t="s">
        <v>2834</v>
      </c>
      <c r="W651" t="s">
        <v>2834</v>
      </c>
      <c r="X651" t="s">
        <v>2834</v>
      </c>
      <c r="Y651" t="s">
        <v>2834</v>
      </c>
      <c r="Z651">
        <v>8</v>
      </c>
      <c r="AA651" t="s">
        <v>2789</v>
      </c>
      <c r="AB651">
        <v>0.25</v>
      </c>
      <c r="AC651" t="s">
        <v>2794</v>
      </c>
      <c r="AD651">
        <v>6776.88</v>
      </c>
      <c r="AE651">
        <v>2940.6400000000003</v>
      </c>
      <c r="AF651">
        <v>0.43392239496641527</v>
      </c>
      <c r="AG651" t="s">
        <v>2827</v>
      </c>
      <c r="AH651">
        <v>2025</v>
      </c>
      <c r="AI651" t="s">
        <v>2835</v>
      </c>
    </row>
    <row r="652" spans="1:35">
      <c r="A652" t="s">
        <v>2039</v>
      </c>
      <c r="B652">
        <v>45395</v>
      </c>
      <c r="C652">
        <v>45403</v>
      </c>
      <c r="D652" t="s">
        <v>378</v>
      </c>
      <c r="E652" t="s">
        <v>128</v>
      </c>
      <c r="F652" t="s">
        <v>95</v>
      </c>
      <c r="G652" t="s">
        <v>38</v>
      </c>
      <c r="H652" t="s">
        <v>145</v>
      </c>
      <c r="I652" t="s">
        <v>146</v>
      </c>
      <c r="J652" t="s">
        <v>74</v>
      </c>
      <c r="K652" t="s">
        <v>75</v>
      </c>
      <c r="L652" t="s">
        <v>2040</v>
      </c>
      <c r="M652" t="s">
        <v>44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155</v>
      </c>
      <c r="U652" t="s">
        <v>103</v>
      </c>
      <c r="V652" t="s">
        <v>2834</v>
      </c>
      <c r="W652" t="s">
        <v>2834</v>
      </c>
      <c r="X652" t="s">
        <v>2834</v>
      </c>
      <c r="Y652" t="s">
        <v>2834</v>
      </c>
      <c r="Z652">
        <v>8</v>
      </c>
      <c r="AA652" t="s">
        <v>2789</v>
      </c>
      <c r="AB652">
        <v>0.15</v>
      </c>
      <c r="AC652" t="s">
        <v>2794</v>
      </c>
      <c r="AD652">
        <v>15760.121999999999</v>
      </c>
      <c r="AE652">
        <v>5828.5919999999987</v>
      </c>
      <c r="AF652">
        <v>0.36983165485647884</v>
      </c>
      <c r="AG652" t="s">
        <v>2823</v>
      </c>
      <c r="AH652">
        <v>2024</v>
      </c>
      <c r="AI652" t="s">
        <v>2835</v>
      </c>
    </row>
    <row r="653" spans="1:35">
      <c r="A653" t="s">
        <v>2041</v>
      </c>
      <c r="B653">
        <v>45875</v>
      </c>
      <c r="C653">
        <v>45878</v>
      </c>
      <c r="D653" t="s">
        <v>2042</v>
      </c>
      <c r="E653" t="s">
        <v>36</v>
      </c>
      <c r="F653" t="s">
        <v>37</v>
      </c>
      <c r="G653" t="s">
        <v>54</v>
      </c>
      <c r="H653" t="s">
        <v>84</v>
      </c>
      <c r="I653" t="s">
        <v>85</v>
      </c>
      <c r="J653" t="s">
        <v>28</v>
      </c>
      <c r="K653" t="s">
        <v>29</v>
      </c>
      <c r="L653" t="s">
        <v>2043</v>
      </c>
      <c r="M653" t="s">
        <v>31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32</v>
      </c>
      <c r="U653" t="s">
        <v>33</v>
      </c>
      <c r="V653" t="s">
        <v>2834</v>
      </c>
      <c r="W653" t="s">
        <v>2834</v>
      </c>
      <c r="X653" t="s">
        <v>2834</v>
      </c>
      <c r="Y653" t="s">
        <v>2834</v>
      </c>
      <c r="Z653">
        <v>3</v>
      </c>
      <c r="AA653" t="s">
        <v>2789</v>
      </c>
      <c r="AB653">
        <v>0</v>
      </c>
      <c r="AC653" t="s">
        <v>2794</v>
      </c>
      <c r="AD653">
        <v>1795.6499999999999</v>
      </c>
      <c r="AE653">
        <v>798.92999999999984</v>
      </c>
      <c r="AF653">
        <v>0.44492523598696843</v>
      </c>
      <c r="AG653" t="s">
        <v>2827</v>
      </c>
      <c r="AH653">
        <v>2025</v>
      </c>
      <c r="AI653" t="s">
        <v>2835</v>
      </c>
    </row>
    <row r="654" spans="1:35">
      <c r="A654" t="s">
        <v>2044</v>
      </c>
      <c r="B654">
        <v>45733</v>
      </c>
      <c r="C654">
        <v>45737</v>
      </c>
      <c r="D654" t="s">
        <v>1688</v>
      </c>
      <c r="E654" t="s">
        <v>132</v>
      </c>
      <c r="F654" t="s">
        <v>24</v>
      </c>
      <c r="G654" t="s">
        <v>25</v>
      </c>
      <c r="H654" t="s">
        <v>136</v>
      </c>
      <c r="I654" t="s">
        <v>137</v>
      </c>
      <c r="J654" t="s">
        <v>28</v>
      </c>
      <c r="K654" t="s">
        <v>153</v>
      </c>
      <c r="L654" t="s">
        <v>2045</v>
      </c>
      <c r="M654" t="s">
        <v>59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32</v>
      </c>
      <c r="U654" t="s">
        <v>33</v>
      </c>
      <c r="V654" t="s">
        <v>2834</v>
      </c>
      <c r="W654" t="s">
        <v>2834</v>
      </c>
      <c r="X654" t="s">
        <v>2834</v>
      </c>
      <c r="Y654" t="s">
        <v>2834</v>
      </c>
      <c r="Z654">
        <v>4</v>
      </c>
      <c r="AA654" t="s">
        <v>2789</v>
      </c>
      <c r="AB654">
        <v>0.15</v>
      </c>
      <c r="AC654" t="s">
        <v>2794</v>
      </c>
      <c r="AD654">
        <v>18362.5075</v>
      </c>
      <c r="AE654">
        <v>7228.5375000000004</v>
      </c>
      <c r="AF654">
        <v>0.39365742941153326</v>
      </c>
      <c r="AG654" t="s">
        <v>2822</v>
      </c>
      <c r="AH654">
        <v>2025</v>
      </c>
      <c r="AI654" t="s">
        <v>2835</v>
      </c>
    </row>
    <row r="655" spans="1:35">
      <c r="A655" t="s">
        <v>2046</v>
      </c>
      <c r="B655">
        <v>45751</v>
      </c>
      <c r="C655">
        <v>45754</v>
      </c>
      <c r="D655" t="s">
        <v>2047</v>
      </c>
      <c r="E655" t="s">
        <v>114</v>
      </c>
      <c r="F655" t="s">
        <v>37</v>
      </c>
      <c r="G655" t="s">
        <v>54</v>
      </c>
      <c r="H655" t="s">
        <v>247</v>
      </c>
      <c r="I655" t="s">
        <v>248</v>
      </c>
      <c r="J655" t="s">
        <v>74</v>
      </c>
      <c r="K655" t="s">
        <v>80</v>
      </c>
      <c r="L655" t="s">
        <v>2048</v>
      </c>
      <c r="M655" t="s">
        <v>31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32</v>
      </c>
      <c r="U655" t="s">
        <v>33</v>
      </c>
      <c r="V655" t="s">
        <v>2834</v>
      </c>
      <c r="W655" t="s">
        <v>2834</v>
      </c>
      <c r="X655" t="s">
        <v>2834</v>
      </c>
      <c r="Y655" t="s">
        <v>2834</v>
      </c>
      <c r="Z655">
        <v>3</v>
      </c>
      <c r="AA655" t="s">
        <v>2789</v>
      </c>
      <c r="AB655">
        <v>0.15</v>
      </c>
      <c r="AC655" t="s">
        <v>2794</v>
      </c>
      <c r="AD655">
        <v>26524.683500000003</v>
      </c>
      <c r="AE655">
        <v>5950.3835000000036</v>
      </c>
      <c r="AF655">
        <v>0.22433381721595294</v>
      </c>
      <c r="AG655" t="s">
        <v>2823</v>
      </c>
      <c r="AH655">
        <v>2025</v>
      </c>
      <c r="AI655" t="s">
        <v>2835</v>
      </c>
    </row>
    <row r="656" spans="1:35">
      <c r="A656" t="s">
        <v>2049</v>
      </c>
      <c r="B656">
        <v>45942</v>
      </c>
      <c r="C656">
        <v>45946</v>
      </c>
      <c r="D656" t="s">
        <v>927</v>
      </c>
      <c r="E656" t="s">
        <v>162</v>
      </c>
      <c r="F656" t="s">
        <v>90</v>
      </c>
      <c r="G656" t="s">
        <v>38</v>
      </c>
      <c r="H656" t="s">
        <v>145</v>
      </c>
      <c r="I656" t="s">
        <v>146</v>
      </c>
      <c r="J656" t="s">
        <v>74</v>
      </c>
      <c r="K656" t="s">
        <v>274</v>
      </c>
      <c r="L656" t="s">
        <v>2050</v>
      </c>
      <c r="M656" t="s">
        <v>44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32</v>
      </c>
      <c r="U656" t="s">
        <v>33</v>
      </c>
      <c r="V656" t="s">
        <v>2834</v>
      </c>
      <c r="W656" t="s">
        <v>2834</v>
      </c>
      <c r="X656" t="s">
        <v>2834</v>
      </c>
      <c r="Y656" t="s">
        <v>2834</v>
      </c>
      <c r="Z656">
        <v>4</v>
      </c>
      <c r="AA656" t="s">
        <v>2789</v>
      </c>
      <c r="AB656">
        <v>0.2</v>
      </c>
      <c r="AC656" t="s">
        <v>2794</v>
      </c>
      <c r="AD656">
        <v>2056.0480000000002</v>
      </c>
      <c r="AE656">
        <v>393.65800000000013</v>
      </c>
      <c r="AF656">
        <v>0.19146342886936496</v>
      </c>
      <c r="AG656" t="s">
        <v>2829</v>
      </c>
      <c r="AH656">
        <v>2025</v>
      </c>
      <c r="AI656" t="s">
        <v>2835</v>
      </c>
    </row>
    <row r="657" spans="1:35">
      <c r="A657" t="s">
        <v>2051</v>
      </c>
      <c r="B657">
        <v>45895</v>
      </c>
      <c r="C657">
        <v>45895</v>
      </c>
      <c r="D657" t="s">
        <v>2052</v>
      </c>
      <c r="E657" t="s">
        <v>79</v>
      </c>
      <c r="F657" t="s">
        <v>95</v>
      </c>
      <c r="G657" t="s">
        <v>38</v>
      </c>
      <c r="H657" t="s">
        <v>99</v>
      </c>
      <c r="I657" t="s">
        <v>100</v>
      </c>
      <c r="J657" t="s">
        <v>41</v>
      </c>
      <c r="K657" t="s">
        <v>57</v>
      </c>
      <c r="L657" t="s">
        <v>2053</v>
      </c>
      <c r="M657" t="s">
        <v>59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32</v>
      </c>
      <c r="U657" t="s">
        <v>33</v>
      </c>
      <c r="V657" t="s">
        <v>2834</v>
      </c>
      <c r="W657" t="s">
        <v>2834</v>
      </c>
      <c r="X657" t="s">
        <v>2834</v>
      </c>
      <c r="Y657" t="s">
        <v>2834</v>
      </c>
      <c r="Z657">
        <v>0</v>
      </c>
      <c r="AA657" t="s">
        <v>2789</v>
      </c>
      <c r="AB657">
        <v>0</v>
      </c>
      <c r="AC657" t="s">
        <v>2794</v>
      </c>
      <c r="AD657">
        <v>8607.2800000000007</v>
      </c>
      <c r="AE657">
        <v>3483.2700000000004</v>
      </c>
      <c r="AF657">
        <v>0.40468882155570635</v>
      </c>
      <c r="AG657" t="s">
        <v>2827</v>
      </c>
      <c r="AH657">
        <v>2025</v>
      </c>
      <c r="AI657" t="s">
        <v>2835</v>
      </c>
    </row>
    <row r="658" spans="1:35">
      <c r="A658" t="s">
        <v>2054</v>
      </c>
      <c r="B658">
        <v>45419</v>
      </c>
      <c r="C658">
        <v>45426</v>
      </c>
      <c r="D658" t="s">
        <v>2055</v>
      </c>
      <c r="E658" t="s">
        <v>79</v>
      </c>
      <c r="F658" t="s">
        <v>37</v>
      </c>
      <c r="G658" t="s">
        <v>25</v>
      </c>
      <c r="H658" t="s">
        <v>236</v>
      </c>
      <c r="I658" t="s">
        <v>237</v>
      </c>
      <c r="J658" t="s">
        <v>74</v>
      </c>
      <c r="K658" t="s">
        <v>274</v>
      </c>
      <c r="L658" t="s">
        <v>2056</v>
      </c>
      <c r="M658" t="s">
        <v>44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32</v>
      </c>
      <c r="U658" t="s">
        <v>33</v>
      </c>
      <c r="V658" t="s">
        <v>2834</v>
      </c>
      <c r="W658" t="s">
        <v>2834</v>
      </c>
      <c r="X658" t="s">
        <v>2834</v>
      </c>
      <c r="Y658" t="s">
        <v>2834</v>
      </c>
      <c r="Z658">
        <v>7</v>
      </c>
      <c r="AA658" t="s">
        <v>2789</v>
      </c>
      <c r="AB658">
        <v>-0.05</v>
      </c>
      <c r="AC658" t="s">
        <v>2795</v>
      </c>
      <c r="AD658">
        <v>11554.62</v>
      </c>
      <c r="AE658">
        <v>3858.3400000000011</v>
      </c>
      <c r="AF658">
        <v>0.33392184251840396</v>
      </c>
      <c r="AG658" t="s">
        <v>2824</v>
      </c>
      <c r="AH658">
        <v>2024</v>
      </c>
      <c r="AI658" t="s">
        <v>2836</v>
      </c>
    </row>
    <row r="659" spans="1:35">
      <c r="A659" t="s">
        <v>2057</v>
      </c>
      <c r="B659">
        <v>45876</v>
      </c>
      <c r="C659">
        <v>45879</v>
      </c>
      <c r="D659" t="s">
        <v>2058</v>
      </c>
      <c r="E659" t="s">
        <v>89</v>
      </c>
      <c r="F659" t="s">
        <v>95</v>
      </c>
      <c r="G659" t="s">
        <v>38</v>
      </c>
      <c r="H659" t="s">
        <v>145</v>
      </c>
      <c r="I659" t="s">
        <v>146</v>
      </c>
      <c r="J659" t="s">
        <v>28</v>
      </c>
      <c r="K659" t="s">
        <v>124</v>
      </c>
      <c r="L659" t="s">
        <v>2059</v>
      </c>
      <c r="M659" t="s">
        <v>31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32</v>
      </c>
      <c r="U659" t="s">
        <v>33</v>
      </c>
      <c r="V659" t="s">
        <v>2834</v>
      </c>
      <c r="W659" t="s">
        <v>2834</v>
      </c>
      <c r="X659" t="s">
        <v>2834</v>
      </c>
      <c r="Y659" t="s">
        <v>2834</v>
      </c>
      <c r="Z659">
        <v>3</v>
      </c>
      <c r="AA659" t="s">
        <v>2789</v>
      </c>
      <c r="AB659">
        <v>0.2</v>
      </c>
      <c r="AC659" t="s">
        <v>2794</v>
      </c>
      <c r="AD659">
        <v>2033</v>
      </c>
      <c r="AE659">
        <v>741.58999999999992</v>
      </c>
      <c r="AF659">
        <v>0.36477619281849477</v>
      </c>
      <c r="AG659" t="s">
        <v>2827</v>
      </c>
      <c r="AH659">
        <v>2025</v>
      </c>
      <c r="AI659" t="s">
        <v>2835</v>
      </c>
    </row>
    <row r="660" spans="1:35">
      <c r="A660" t="s">
        <v>2060</v>
      </c>
      <c r="B660">
        <v>45817</v>
      </c>
      <c r="C660">
        <v>45820</v>
      </c>
      <c r="D660" t="s">
        <v>2061</v>
      </c>
      <c r="E660" t="s">
        <v>132</v>
      </c>
      <c r="F660" t="s">
        <v>24</v>
      </c>
      <c r="G660" t="s">
        <v>2791</v>
      </c>
      <c r="H660" t="s">
        <v>145</v>
      </c>
      <c r="I660" t="s">
        <v>146</v>
      </c>
      <c r="J660" t="s">
        <v>28</v>
      </c>
      <c r="K660" t="s">
        <v>48</v>
      </c>
      <c r="L660" t="s">
        <v>2062</v>
      </c>
      <c r="M660" t="s">
        <v>50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102</v>
      </c>
      <c r="U660" t="s">
        <v>68</v>
      </c>
      <c r="V660" t="s">
        <v>2834</v>
      </c>
      <c r="W660" t="s">
        <v>2834</v>
      </c>
      <c r="X660" t="s">
        <v>2834</v>
      </c>
      <c r="Y660" t="s">
        <v>2834</v>
      </c>
      <c r="Z660">
        <v>3</v>
      </c>
      <c r="AA660" t="s">
        <v>2789</v>
      </c>
      <c r="AB660">
        <v>0</v>
      </c>
      <c r="AC660" t="s">
        <v>2794</v>
      </c>
      <c r="AD660">
        <v>19966.940000000002</v>
      </c>
      <c r="AE660">
        <v>7276.1100000000024</v>
      </c>
      <c r="AF660">
        <v>0.36440786620283339</v>
      </c>
      <c r="AG660" t="s">
        <v>2825</v>
      </c>
      <c r="AH660">
        <v>2025</v>
      </c>
      <c r="AI660" t="s">
        <v>2838</v>
      </c>
    </row>
    <row r="661" spans="1:35">
      <c r="A661" t="s">
        <v>2063</v>
      </c>
      <c r="B661">
        <v>45678</v>
      </c>
      <c r="C661">
        <v>45679</v>
      </c>
      <c r="D661" t="s">
        <v>2064</v>
      </c>
      <c r="E661" t="s">
        <v>162</v>
      </c>
      <c r="F661" t="s">
        <v>90</v>
      </c>
      <c r="G661" t="s">
        <v>54</v>
      </c>
      <c r="H661" t="s">
        <v>175</v>
      </c>
      <c r="I661" t="s">
        <v>176</v>
      </c>
      <c r="J661" t="s">
        <v>74</v>
      </c>
      <c r="K661" t="s">
        <v>171</v>
      </c>
      <c r="L661" t="s">
        <v>2065</v>
      </c>
      <c r="M661" t="s">
        <v>31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102</v>
      </c>
      <c r="U661" t="s">
        <v>68</v>
      </c>
      <c r="V661" t="s">
        <v>2834</v>
      </c>
      <c r="W661" t="s">
        <v>2834</v>
      </c>
      <c r="X661" t="s">
        <v>2834</v>
      </c>
      <c r="Y661" t="s">
        <v>2834</v>
      </c>
      <c r="Z661">
        <v>1</v>
      </c>
      <c r="AA661" t="s">
        <v>2789</v>
      </c>
      <c r="AB661">
        <v>0.2</v>
      </c>
      <c r="AC661" t="s">
        <v>2794</v>
      </c>
      <c r="AD661">
        <v>710.89600000000007</v>
      </c>
      <c r="AE661">
        <v>197.01600000000008</v>
      </c>
      <c r="AF661">
        <v>0.27713758411919615</v>
      </c>
      <c r="AG661" t="s">
        <v>2820</v>
      </c>
      <c r="AH661">
        <v>2025</v>
      </c>
      <c r="AI661" t="s">
        <v>2835</v>
      </c>
    </row>
    <row r="662" spans="1:35">
      <c r="A662" t="s">
        <v>2066</v>
      </c>
      <c r="B662">
        <v>45853</v>
      </c>
      <c r="C662">
        <v>45853</v>
      </c>
      <c r="D662" t="s">
        <v>2067</v>
      </c>
      <c r="E662" t="s">
        <v>53</v>
      </c>
      <c r="F662" t="s">
        <v>37</v>
      </c>
      <c r="G662" t="s">
        <v>38</v>
      </c>
      <c r="H662" t="s">
        <v>228</v>
      </c>
      <c r="I662" t="s">
        <v>229</v>
      </c>
      <c r="J662" t="s">
        <v>74</v>
      </c>
      <c r="K662" t="s">
        <v>171</v>
      </c>
      <c r="L662" t="s">
        <v>2068</v>
      </c>
      <c r="M662" t="s">
        <v>44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32</v>
      </c>
      <c r="U662" t="s">
        <v>33</v>
      </c>
      <c r="V662" t="s">
        <v>2834</v>
      </c>
      <c r="W662" t="s">
        <v>2834</v>
      </c>
      <c r="X662" t="s">
        <v>2834</v>
      </c>
      <c r="Y662" t="s">
        <v>2834</v>
      </c>
      <c r="Z662">
        <v>0</v>
      </c>
      <c r="AA662" t="s">
        <v>2789</v>
      </c>
      <c r="AB662">
        <v>0.1</v>
      </c>
      <c r="AC662" t="s">
        <v>2794</v>
      </c>
      <c r="AD662">
        <v>15994.476000000001</v>
      </c>
      <c r="AE662">
        <v>6770.1959999999999</v>
      </c>
      <c r="AF662">
        <v>0.42328338858991066</v>
      </c>
      <c r="AG662" t="s">
        <v>2826</v>
      </c>
      <c r="AH662">
        <v>2025</v>
      </c>
      <c r="AI662" t="s">
        <v>2835</v>
      </c>
    </row>
    <row r="663" spans="1:35">
      <c r="A663" t="s">
        <v>2069</v>
      </c>
      <c r="B663">
        <v>45429</v>
      </c>
      <c r="C663">
        <v>45434</v>
      </c>
      <c r="D663" t="s">
        <v>2070</v>
      </c>
      <c r="E663" t="s">
        <v>132</v>
      </c>
      <c r="F663" t="s">
        <v>24</v>
      </c>
      <c r="G663" t="s">
        <v>54</v>
      </c>
      <c r="H663" t="s">
        <v>84</v>
      </c>
      <c r="I663" t="s">
        <v>85</v>
      </c>
      <c r="J663" t="s">
        <v>74</v>
      </c>
      <c r="K663" t="s">
        <v>274</v>
      </c>
      <c r="L663" t="s">
        <v>2071</v>
      </c>
      <c r="M663" t="s">
        <v>31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32</v>
      </c>
      <c r="U663" t="s">
        <v>33</v>
      </c>
      <c r="V663" t="s">
        <v>2834</v>
      </c>
      <c r="W663" t="s">
        <v>2834</v>
      </c>
      <c r="X663" t="s">
        <v>2834</v>
      </c>
      <c r="Y663" t="s">
        <v>2834</v>
      </c>
      <c r="Z663">
        <v>5</v>
      </c>
      <c r="AA663" t="s">
        <v>2789</v>
      </c>
      <c r="AB663">
        <v>0</v>
      </c>
      <c r="AC663" t="s">
        <v>2794</v>
      </c>
      <c r="AD663">
        <v>1627.5</v>
      </c>
      <c r="AE663">
        <v>687.6</v>
      </c>
      <c r="AF663">
        <v>0.4224884792626728</v>
      </c>
      <c r="AG663" t="s">
        <v>2824</v>
      </c>
      <c r="AH663">
        <v>2024</v>
      </c>
      <c r="AI663" t="s">
        <v>2835</v>
      </c>
    </row>
    <row r="664" spans="1:35">
      <c r="A664" t="s">
        <v>2072</v>
      </c>
      <c r="B664">
        <v>45305</v>
      </c>
      <c r="C664">
        <v>45309</v>
      </c>
      <c r="D664" t="s">
        <v>2073</v>
      </c>
      <c r="E664" t="s">
        <v>36</v>
      </c>
      <c r="F664" t="s">
        <v>95</v>
      </c>
      <c r="G664" t="s">
        <v>63</v>
      </c>
      <c r="H664" t="s">
        <v>26</v>
      </c>
      <c r="I664" t="s">
        <v>109</v>
      </c>
      <c r="J664" t="s">
        <v>74</v>
      </c>
      <c r="K664" t="s">
        <v>274</v>
      </c>
      <c r="L664" t="s">
        <v>2074</v>
      </c>
      <c r="M664" t="s">
        <v>44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32</v>
      </c>
      <c r="U664" t="s">
        <v>33</v>
      </c>
      <c r="V664" t="s">
        <v>2834</v>
      </c>
      <c r="W664" t="s">
        <v>2834</v>
      </c>
      <c r="X664" t="s">
        <v>2834</v>
      </c>
      <c r="Y664" t="s">
        <v>2834</v>
      </c>
      <c r="Z664">
        <v>4</v>
      </c>
      <c r="AA664" t="s">
        <v>2789</v>
      </c>
      <c r="AB664">
        <v>0.1</v>
      </c>
      <c r="AC664" t="s">
        <v>2794</v>
      </c>
      <c r="AD664">
        <v>9637.92</v>
      </c>
      <c r="AE664">
        <v>2308.63</v>
      </c>
      <c r="AF664">
        <v>0.2395361239769577</v>
      </c>
      <c r="AG664" t="s">
        <v>2820</v>
      </c>
      <c r="AH664">
        <v>2024</v>
      </c>
      <c r="AI664" t="s">
        <v>2835</v>
      </c>
    </row>
    <row r="665" spans="1:35">
      <c r="A665" t="s">
        <v>2075</v>
      </c>
      <c r="B665">
        <v>45414</v>
      </c>
      <c r="C665">
        <v>45420</v>
      </c>
      <c r="D665" t="s">
        <v>2076</v>
      </c>
      <c r="E665" t="s">
        <v>118</v>
      </c>
      <c r="F665" t="s">
        <v>95</v>
      </c>
      <c r="G665" t="s">
        <v>38</v>
      </c>
      <c r="H665" t="s">
        <v>228</v>
      </c>
      <c r="I665" t="s">
        <v>229</v>
      </c>
      <c r="J665" t="s">
        <v>74</v>
      </c>
      <c r="K665" t="s">
        <v>80</v>
      </c>
      <c r="L665" t="s">
        <v>2077</v>
      </c>
      <c r="M665" t="s">
        <v>31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32</v>
      </c>
      <c r="U665" t="s">
        <v>33</v>
      </c>
      <c r="V665" t="s">
        <v>2834</v>
      </c>
      <c r="W665" t="s">
        <v>2834</v>
      </c>
      <c r="X665" t="s">
        <v>2834</v>
      </c>
      <c r="Y665" t="s">
        <v>2834</v>
      </c>
      <c r="Z665">
        <v>6</v>
      </c>
      <c r="AA665" t="s">
        <v>2789</v>
      </c>
      <c r="AB665">
        <v>-0.24</v>
      </c>
      <c r="AC665" t="s">
        <v>2795</v>
      </c>
      <c r="AD665">
        <v>7898.8248000000003</v>
      </c>
      <c r="AE665">
        <v>4745.8448000000008</v>
      </c>
      <c r="AF665">
        <v>0.60082922715287979</v>
      </c>
      <c r="AG665" t="s">
        <v>2824</v>
      </c>
      <c r="AH665">
        <v>2024</v>
      </c>
      <c r="AI665" t="s">
        <v>2836</v>
      </c>
    </row>
    <row r="666" spans="1:35">
      <c r="A666" t="s">
        <v>2078</v>
      </c>
      <c r="B666">
        <v>45633</v>
      </c>
      <c r="C666">
        <v>45636</v>
      </c>
      <c r="D666" t="s">
        <v>2079</v>
      </c>
      <c r="E666" t="s">
        <v>36</v>
      </c>
      <c r="F666" t="s">
        <v>95</v>
      </c>
      <c r="G666" t="s">
        <v>54</v>
      </c>
      <c r="H666" t="s">
        <v>55</v>
      </c>
      <c r="I666" t="s">
        <v>56</v>
      </c>
      <c r="J666" t="s">
        <v>74</v>
      </c>
      <c r="K666" t="s">
        <v>75</v>
      </c>
      <c r="L666" t="s">
        <v>2080</v>
      </c>
      <c r="M666" t="s">
        <v>59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32</v>
      </c>
      <c r="U666" t="s">
        <v>33</v>
      </c>
      <c r="V666" t="s">
        <v>2834</v>
      </c>
      <c r="W666" t="s">
        <v>2834</v>
      </c>
      <c r="X666" t="s">
        <v>2834</v>
      </c>
      <c r="Y666" t="s">
        <v>2834</v>
      </c>
      <c r="Z666">
        <v>3</v>
      </c>
      <c r="AA666" t="s">
        <v>2789</v>
      </c>
      <c r="AB666">
        <v>0.2</v>
      </c>
      <c r="AC666" t="s">
        <v>2794</v>
      </c>
      <c r="AD666">
        <v>1527.0640000000001</v>
      </c>
      <c r="AE666">
        <v>471.17399999999998</v>
      </c>
      <c r="AF666">
        <v>0.30854895407134209</v>
      </c>
      <c r="AG666" t="s">
        <v>2831</v>
      </c>
      <c r="AH666">
        <v>2024</v>
      </c>
      <c r="AI666" t="s">
        <v>2835</v>
      </c>
    </row>
    <row r="667" spans="1:35">
      <c r="A667" t="s">
        <v>2081</v>
      </c>
      <c r="B667">
        <v>45670</v>
      </c>
      <c r="C667">
        <v>45670</v>
      </c>
      <c r="D667" t="s">
        <v>2082</v>
      </c>
      <c r="E667" t="s">
        <v>118</v>
      </c>
      <c r="F667" t="s">
        <v>95</v>
      </c>
      <c r="G667" t="s">
        <v>63</v>
      </c>
      <c r="H667" t="s">
        <v>180</v>
      </c>
      <c r="I667" t="s">
        <v>181</v>
      </c>
      <c r="J667" t="s">
        <v>28</v>
      </c>
      <c r="K667" t="s">
        <v>48</v>
      </c>
      <c r="L667" t="s">
        <v>2083</v>
      </c>
      <c r="M667" t="s">
        <v>59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155</v>
      </c>
      <c r="U667" t="s">
        <v>68</v>
      </c>
      <c r="V667" t="s">
        <v>2834</v>
      </c>
      <c r="W667" t="s">
        <v>2834</v>
      </c>
      <c r="X667" t="s">
        <v>2834</v>
      </c>
      <c r="Y667" t="s">
        <v>2834</v>
      </c>
      <c r="Z667">
        <v>0</v>
      </c>
      <c r="AA667" t="s">
        <v>2789</v>
      </c>
      <c r="AB667">
        <v>0.1</v>
      </c>
      <c r="AC667" t="s">
        <v>2794</v>
      </c>
      <c r="AD667">
        <v>5698.4039999999995</v>
      </c>
      <c r="AE667">
        <v>2057.5139999999997</v>
      </c>
      <c r="AF667">
        <v>0.36106846759197836</v>
      </c>
      <c r="AG667" t="s">
        <v>2820</v>
      </c>
      <c r="AH667">
        <v>2025</v>
      </c>
      <c r="AI667" t="s">
        <v>2835</v>
      </c>
    </row>
    <row r="668" spans="1:35">
      <c r="A668" t="s">
        <v>2084</v>
      </c>
      <c r="B668">
        <v>45464</v>
      </c>
      <c r="C668">
        <v>45469</v>
      </c>
      <c r="D668" t="s">
        <v>2085</v>
      </c>
      <c r="E668" t="s">
        <v>141</v>
      </c>
      <c r="F668" t="s">
        <v>37</v>
      </c>
      <c r="G668" t="s">
        <v>25</v>
      </c>
      <c r="H668" t="s">
        <v>122</v>
      </c>
      <c r="I668" t="s">
        <v>123</v>
      </c>
      <c r="J668" t="s">
        <v>74</v>
      </c>
      <c r="K668" t="s">
        <v>80</v>
      </c>
      <c r="L668" t="s">
        <v>2086</v>
      </c>
      <c r="M668" t="s">
        <v>44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32</v>
      </c>
      <c r="U668" t="s">
        <v>33</v>
      </c>
      <c r="V668" t="s">
        <v>2834</v>
      </c>
      <c r="W668" t="s">
        <v>2834</v>
      </c>
      <c r="X668" t="s">
        <v>2834</v>
      </c>
      <c r="Y668" t="s">
        <v>2834</v>
      </c>
      <c r="Z668">
        <v>5</v>
      </c>
      <c r="AA668" t="s">
        <v>2789</v>
      </c>
      <c r="AB668">
        <v>0.05</v>
      </c>
      <c r="AC668" t="s">
        <v>2794</v>
      </c>
      <c r="AD668">
        <v>265.83849999999995</v>
      </c>
      <c r="AE668">
        <v>42.348499999999945</v>
      </c>
      <c r="AF668">
        <v>0.15930160605028976</v>
      </c>
      <c r="AG668" t="s">
        <v>2825</v>
      </c>
      <c r="AH668">
        <v>2024</v>
      </c>
      <c r="AI668" t="s">
        <v>2835</v>
      </c>
    </row>
    <row r="669" spans="1:35">
      <c r="A669" t="s">
        <v>2087</v>
      </c>
      <c r="B669">
        <v>45797</v>
      </c>
      <c r="C669">
        <v>45804</v>
      </c>
      <c r="D669" t="s">
        <v>2088</v>
      </c>
      <c r="E669" t="s">
        <v>162</v>
      </c>
      <c r="F669" t="s">
        <v>37</v>
      </c>
      <c r="G669" t="s">
        <v>38</v>
      </c>
      <c r="H669" t="s">
        <v>145</v>
      </c>
      <c r="I669" t="s">
        <v>146</v>
      </c>
      <c r="J669" t="s">
        <v>74</v>
      </c>
      <c r="K669" t="s">
        <v>274</v>
      </c>
      <c r="L669" t="s">
        <v>2089</v>
      </c>
      <c r="M669" t="s">
        <v>59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111</v>
      </c>
      <c r="U669" t="s">
        <v>103</v>
      </c>
      <c r="V669" t="s">
        <v>2834</v>
      </c>
      <c r="W669" t="s">
        <v>2834</v>
      </c>
      <c r="X669" t="s">
        <v>2834</v>
      </c>
      <c r="Y669" t="s">
        <v>2834</v>
      </c>
      <c r="Z669">
        <v>7</v>
      </c>
      <c r="AA669" t="s">
        <v>2789</v>
      </c>
      <c r="AB669">
        <v>0</v>
      </c>
      <c r="AC669" t="s">
        <v>2794</v>
      </c>
      <c r="AD669">
        <v>3959.14</v>
      </c>
      <c r="AE669">
        <v>719.60999999999967</v>
      </c>
      <c r="AF669">
        <v>0.18175916992074029</v>
      </c>
      <c r="AG669" t="s">
        <v>2824</v>
      </c>
      <c r="AH669">
        <v>2025</v>
      </c>
      <c r="AI669" t="s">
        <v>2835</v>
      </c>
    </row>
    <row r="670" spans="1:35">
      <c r="A670" t="s">
        <v>2090</v>
      </c>
      <c r="B670">
        <v>45617</v>
      </c>
      <c r="C670">
        <v>45619</v>
      </c>
      <c r="D670" t="s">
        <v>2091</v>
      </c>
      <c r="E670" t="s">
        <v>36</v>
      </c>
      <c r="F670" t="s">
        <v>90</v>
      </c>
      <c r="G670" t="s">
        <v>63</v>
      </c>
      <c r="H670" t="s">
        <v>180</v>
      </c>
      <c r="I670" t="s">
        <v>181</v>
      </c>
      <c r="J670" t="s">
        <v>28</v>
      </c>
      <c r="K670" t="s">
        <v>29</v>
      </c>
      <c r="L670" t="s">
        <v>2092</v>
      </c>
      <c r="M670" t="s">
        <v>31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32</v>
      </c>
      <c r="U670" t="s">
        <v>33</v>
      </c>
      <c r="V670" t="s">
        <v>2834</v>
      </c>
      <c r="W670" t="s">
        <v>2834</v>
      </c>
      <c r="X670" t="s">
        <v>2834</v>
      </c>
      <c r="Y670" t="s">
        <v>2834</v>
      </c>
      <c r="Z670">
        <v>2</v>
      </c>
      <c r="AA670" t="s">
        <v>2789</v>
      </c>
      <c r="AB670">
        <v>0.2</v>
      </c>
      <c r="AC670" t="s">
        <v>2794</v>
      </c>
      <c r="AD670">
        <v>2401.84</v>
      </c>
      <c r="AE670">
        <v>528.73000000000025</v>
      </c>
      <c r="AF670">
        <v>0.22013539619624964</v>
      </c>
      <c r="AG670" t="s">
        <v>2830</v>
      </c>
      <c r="AH670">
        <v>2024</v>
      </c>
      <c r="AI670" t="s">
        <v>2835</v>
      </c>
    </row>
    <row r="671" spans="1:35">
      <c r="A671" t="s">
        <v>2093</v>
      </c>
      <c r="B671">
        <v>45375</v>
      </c>
      <c r="C671">
        <v>45383</v>
      </c>
      <c r="D671" t="s">
        <v>2094</v>
      </c>
      <c r="E671" t="s">
        <v>62</v>
      </c>
      <c r="F671" t="s">
        <v>95</v>
      </c>
      <c r="G671" t="s">
        <v>63</v>
      </c>
      <c r="H671" t="s">
        <v>64</v>
      </c>
      <c r="I671" t="s">
        <v>65</v>
      </c>
      <c r="J671" t="s">
        <v>41</v>
      </c>
      <c r="K671" t="s">
        <v>42</v>
      </c>
      <c r="L671" t="s">
        <v>2095</v>
      </c>
      <c r="M671" t="s">
        <v>31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32</v>
      </c>
      <c r="U671" t="s">
        <v>33</v>
      </c>
      <c r="V671" t="s">
        <v>2834</v>
      </c>
      <c r="W671" t="s">
        <v>2834</v>
      </c>
      <c r="X671" t="s">
        <v>2834</v>
      </c>
      <c r="Y671" t="s">
        <v>2834</v>
      </c>
      <c r="Z671">
        <v>8</v>
      </c>
      <c r="AA671" t="s">
        <v>2789</v>
      </c>
      <c r="AB671">
        <v>0.25</v>
      </c>
      <c r="AC671" t="s">
        <v>2794</v>
      </c>
      <c r="AD671">
        <v>5102.16</v>
      </c>
      <c r="AE671">
        <v>1875.71</v>
      </c>
      <c r="AF671">
        <v>0.36763057214983458</v>
      </c>
      <c r="AG671" t="s">
        <v>2822</v>
      </c>
      <c r="AH671">
        <v>2024</v>
      </c>
      <c r="AI671" t="s">
        <v>2835</v>
      </c>
    </row>
    <row r="672" spans="1:35">
      <c r="A672" t="s">
        <v>2096</v>
      </c>
      <c r="B672">
        <v>45690</v>
      </c>
      <c r="C672">
        <v>45694</v>
      </c>
      <c r="D672" t="s">
        <v>1598</v>
      </c>
      <c r="E672" t="s">
        <v>132</v>
      </c>
      <c r="F672" t="s">
        <v>90</v>
      </c>
      <c r="G672" t="s">
        <v>25</v>
      </c>
      <c r="H672" t="s">
        <v>136</v>
      </c>
      <c r="I672" t="s">
        <v>137</v>
      </c>
      <c r="J672" t="s">
        <v>41</v>
      </c>
      <c r="K672" t="s">
        <v>42</v>
      </c>
      <c r="L672" t="s">
        <v>2097</v>
      </c>
      <c r="M672" t="s">
        <v>59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32</v>
      </c>
      <c r="U672" t="s">
        <v>33</v>
      </c>
      <c r="V672" t="s">
        <v>2834</v>
      </c>
      <c r="W672" t="s">
        <v>2834</v>
      </c>
      <c r="X672" t="s">
        <v>2834</v>
      </c>
      <c r="Y672" t="s">
        <v>2834</v>
      </c>
      <c r="Z672">
        <v>4</v>
      </c>
      <c r="AA672" t="s">
        <v>2789</v>
      </c>
      <c r="AB672">
        <v>0.1</v>
      </c>
      <c r="AC672" t="s">
        <v>2794</v>
      </c>
      <c r="AD672">
        <v>6176.5920000000006</v>
      </c>
      <c r="AE672">
        <v>2615.6320000000005</v>
      </c>
      <c r="AF672">
        <v>0.42347495188285067</v>
      </c>
      <c r="AG672" t="s">
        <v>2821</v>
      </c>
      <c r="AH672">
        <v>2025</v>
      </c>
      <c r="AI672" t="s">
        <v>2835</v>
      </c>
    </row>
    <row r="673" spans="1:35">
      <c r="A673" t="s">
        <v>2098</v>
      </c>
      <c r="B673">
        <v>45373</v>
      </c>
      <c r="C673">
        <v>45378</v>
      </c>
      <c r="D673" t="s">
        <v>2099</v>
      </c>
      <c r="E673" t="s">
        <v>89</v>
      </c>
      <c r="F673" t="s">
        <v>95</v>
      </c>
      <c r="G673" t="s">
        <v>63</v>
      </c>
      <c r="H673" t="s">
        <v>190</v>
      </c>
      <c r="I673" t="s">
        <v>191</v>
      </c>
      <c r="J673" t="s">
        <v>74</v>
      </c>
      <c r="K673" t="s">
        <v>80</v>
      </c>
      <c r="L673" t="s">
        <v>2100</v>
      </c>
      <c r="M673" t="s">
        <v>31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32</v>
      </c>
      <c r="U673" t="s">
        <v>33</v>
      </c>
      <c r="V673" t="s">
        <v>2834</v>
      </c>
      <c r="W673" t="s">
        <v>2834</v>
      </c>
      <c r="X673" t="s">
        <v>2834</v>
      </c>
      <c r="Y673" t="s">
        <v>2834</v>
      </c>
      <c r="Z673">
        <v>5</v>
      </c>
      <c r="AA673" t="s">
        <v>2789</v>
      </c>
      <c r="AB673">
        <v>0.05</v>
      </c>
      <c r="AC673" t="s">
        <v>2794</v>
      </c>
      <c r="AD673">
        <v>31203.310500000003</v>
      </c>
      <c r="AE673">
        <v>13465.180500000002</v>
      </c>
      <c r="AF673">
        <v>0.43153051020019179</v>
      </c>
      <c r="AG673" t="s">
        <v>2822</v>
      </c>
      <c r="AH673">
        <v>2024</v>
      </c>
      <c r="AI673" t="s">
        <v>2835</v>
      </c>
    </row>
    <row r="674" spans="1:35">
      <c r="A674" t="s">
        <v>2101</v>
      </c>
      <c r="B674">
        <v>45539</v>
      </c>
      <c r="C674">
        <v>45540</v>
      </c>
      <c r="D674" t="s">
        <v>2102</v>
      </c>
      <c r="E674" t="s">
        <v>89</v>
      </c>
      <c r="F674" t="s">
        <v>90</v>
      </c>
      <c r="G674" t="s">
        <v>63</v>
      </c>
      <c r="H674" t="s">
        <v>72</v>
      </c>
      <c r="I674" t="s">
        <v>73</v>
      </c>
      <c r="J674" t="s">
        <v>41</v>
      </c>
      <c r="K674" t="s">
        <v>66</v>
      </c>
      <c r="L674" t="s">
        <v>2103</v>
      </c>
      <c r="M674" t="s">
        <v>59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32</v>
      </c>
      <c r="U674" t="s">
        <v>103</v>
      </c>
      <c r="V674" t="s">
        <v>2834</v>
      </c>
      <c r="W674" t="s">
        <v>2834</v>
      </c>
      <c r="X674" t="s">
        <v>2834</v>
      </c>
      <c r="Y674" t="s">
        <v>2834</v>
      </c>
      <c r="Z674">
        <v>1</v>
      </c>
      <c r="AA674" t="s">
        <v>2789</v>
      </c>
      <c r="AB674">
        <v>0.05</v>
      </c>
      <c r="AC674" t="s">
        <v>2794</v>
      </c>
      <c r="AD674">
        <v>12010.5175</v>
      </c>
      <c r="AE674">
        <v>4145.9075000000003</v>
      </c>
      <c r="AF674">
        <v>0.34518974723612039</v>
      </c>
      <c r="AG674" t="s">
        <v>2828</v>
      </c>
      <c r="AH674">
        <v>2024</v>
      </c>
      <c r="AI674" t="s">
        <v>2835</v>
      </c>
    </row>
    <row r="675" spans="1:35">
      <c r="A675" t="s">
        <v>2104</v>
      </c>
      <c r="B675">
        <v>45701</v>
      </c>
      <c r="C675">
        <v>45704</v>
      </c>
      <c r="D675" t="s">
        <v>2105</v>
      </c>
      <c r="E675" t="s">
        <v>53</v>
      </c>
      <c r="F675" t="s">
        <v>37</v>
      </c>
      <c r="G675" t="s">
        <v>63</v>
      </c>
      <c r="H675" t="s">
        <v>26</v>
      </c>
      <c r="I675" t="s">
        <v>109</v>
      </c>
      <c r="J675" t="s">
        <v>41</v>
      </c>
      <c r="K675" t="s">
        <v>158</v>
      </c>
      <c r="L675" t="s">
        <v>2106</v>
      </c>
      <c r="M675" t="s">
        <v>31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32</v>
      </c>
      <c r="U675" t="s">
        <v>33</v>
      </c>
      <c r="V675" t="s">
        <v>2834</v>
      </c>
      <c r="W675" t="s">
        <v>2834</v>
      </c>
      <c r="X675" t="s">
        <v>2834</v>
      </c>
      <c r="Y675" t="s">
        <v>2834</v>
      </c>
      <c r="Z675">
        <v>3</v>
      </c>
      <c r="AA675" t="s">
        <v>2789</v>
      </c>
      <c r="AB675">
        <v>0.15</v>
      </c>
      <c r="AC675" t="s">
        <v>2794</v>
      </c>
      <c r="AD675">
        <v>13847.86</v>
      </c>
      <c r="AE675">
        <v>5376.08</v>
      </c>
      <c r="AF675">
        <v>0.38822460654570451</v>
      </c>
      <c r="AG675" t="s">
        <v>2821</v>
      </c>
      <c r="AH675">
        <v>2025</v>
      </c>
      <c r="AI675" t="s">
        <v>2835</v>
      </c>
    </row>
    <row r="676" spans="1:35">
      <c r="A676" t="s">
        <v>2107</v>
      </c>
      <c r="B676">
        <v>45430</v>
      </c>
      <c r="C676">
        <v>45433</v>
      </c>
      <c r="D676" t="s">
        <v>2108</v>
      </c>
      <c r="E676" t="s">
        <v>71</v>
      </c>
      <c r="F676" t="s">
        <v>90</v>
      </c>
      <c r="G676" t="s">
        <v>38</v>
      </c>
      <c r="H676" t="s">
        <v>228</v>
      </c>
      <c r="I676" t="s">
        <v>229</v>
      </c>
      <c r="J676" t="s">
        <v>74</v>
      </c>
      <c r="K676" t="s">
        <v>75</v>
      </c>
      <c r="L676" t="s">
        <v>2109</v>
      </c>
      <c r="M676" t="s">
        <v>31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111</v>
      </c>
      <c r="U676" t="s">
        <v>103</v>
      </c>
      <c r="V676" t="s">
        <v>2834</v>
      </c>
      <c r="W676" t="s">
        <v>2834</v>
      </c>
      <c r="X676" t="s">
        <v>2834</v>
      </c>
      <c r="Y676" t="s">
        <v>2834</v>
      </c>
      <c r="Z676">
        <v>3</v>
      </c>
      <c r="AA676" t="s">
        <v>2789</v>
      </c>
      <c r="AB676">
        <v>0</v>
      </c>
      <c r="AC676" t="s">
        <v>2794</v>
      </c>
      <c r="AD676">
        <v>1033.71</v>
      </c>
      <c r="AE676">
        <v>402.89</v>
      </c>
      <c r="AF676">
        <v>0.38975147768716562</v>
      </c>
      <c r="AG676" t="s">
        <v>2824</v>
      </c>
      <c r="AH676">
        <v>2024</v>
      </c>
      <c r="AI676" t="s">
        <v>2835</v>
      </c>
    </row>
    <row r="677" spans="1:35">
      <c r="A677" t="s">
        <v>2110</v>
      </c>
      <c r="B677">
        <v>45815</v>
      </c>
      <c r="C677">
        <v>45818</v>
      </c>
      <c r="D677" t="s">
        <v>2011</v>
      </c>
      <c r="E677" t="s">
        <v>128</v>
      </c>
      <c r="F677" t="s">
        <v>24</v>
      </c>
      <c r="G677" t="s">
        <v>25</v>
      </c>
      <c r="H677" t="s">
        <v>26</v>
      </c>
      <c r="I677" t="s">
        <v>27</v>
      </c>
      <c r="J677" t="s">
        <v>41</v>
      </c>
      <c r="K677" t="s">
        <v>57</v>
      </c>
      <c r="L677" t="s">
        <v>2111</v>
      </c>
      <c r="M677" t="s">
        <v>44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32</v>
      </c>
      <c r="U677" t="s">
        <v>33</v>
      </c>
      <c r="V677" t="s">
        <v>2834</v>
      </c>
      <c r="W677" t="s">
        <v>2834</v>
      </c>
      <c r="X677" t="s">
        <v>2834</v>
      </c>
      <c r="Y677" t="s">
        <v>2834</v>
      </c>
      <c r="Z677">
        <v>3</v>
      </c>
      <c r="AA677" t="s">
        <v>2789</v>
      </c>
      <c r="AB677">
        <v>0</v>
      </c>
      <c r="AC677" t="s">
        <v>2794</v>
      </c>
      <c r="AD677">
        <v>2889.7799999999997</v>
      </c>
      <c r="AE677">
        <v>1078.5499999999997</v>
      </c>
      <c r="AF677">
        <v>0.37322910394562903</v>
      </c>
      <c r="AG677" t="s">
        <v>2825</v>
      </c>
      <c r="AH677">
        <v>2025</v>
      </c>
      <c r="AI677" t="s">
        <v>2835</v>
      </c>
    </row>
    <row r="678" spans="1:35">
      <c r="A678" t="s">
        <v>2112</v>
      </c>
      <c r="B678">
        <v>45911</v>
      </c>
      <c r="C678">
        <v>45918</v>
      </c>
      <c r="D678" t="s">
        <v>2113</v>
      </c>
      <c r="E678" t="s">
        <v>118</v>
      </c>
      <c r="F678" t="s">
        <v>37</v>
      </c>
      <c r="G678" t="s">
        <v>25</v>
      </c>
      <c r="H678" t="s">
        <v>350</v>
      </c>
      <c r="I678" t="s">
        <v>351</v>
      </c>
      <c r="J678" t="s">
        <v>74</v>
      </c>
      <c r="K678" t="s">
        <v>171</v>
      </c>
      <c r="L678" t="s">
        <v>2114</v>
      </c>
      <c r="M678" t="s">
        <v>44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32</v>
      </c>
      <c r="U678" t="s">
        <v>33</v>
      </c>
      <c r="V678" t="s">
        <v>2834</v>
      </c>
      <c r="W678" t="s">
        <v>2834</v>
      </c>
      <c r="X678" t="s">
        <v>2834</v>
      </c>
      <c r="Y678" t="s">
        <v>2834</v>
      </c>
      <c r="Z678">
        <v>7</v>
      </c>
      <c r="AA678" t="s">
        <v>2789</v>
      </c>
      <c r="AB678">
        <v>0.15</v>
      </c>
      <c r="AC678" t="s">
        <v>2794</v>
      </c>
      <c r="AD678">
        <v>20296.699499999999</v>
      </c>
      <c r="AE678">
        <v>5375.829499999998</v>
      </c>
      <c r="AF678">
        <v>0.26486225014071862</v>
      </c>
      <c r="AG678" t="s">
        <v>2828</v>
      </c>
      <c r="AH678">
        <v>2025</v>
      </c>
      <c r="AI678" t="s">
        <v>2835</v>
      </c>
    </row>
    <row r="679" spans="1:35">
      <c r="A679" t="s">
        <v>2115</v>
      </c>
      <c r="B679">
        <v>45465</v>
      </c>
      <c r="C679">
        <v>45470</v>
      </c>
      <c r="D679" t="s">
        <v>22</v>
      </c>
      <c r="E679" t="s">
        <v>47</v>
      </c>
      <c r="F679" t="s">
        <v>95</v>
      </c>
      <c r="G679" t="s">
        <v>54</v>
      </c>
      <c r="H679" t="s">
        <v>175</v>
      </c>
      <c r="I679" t="s">
        <v>176</v>
      </c>
      <c r="J679" t="s">
        <v>41</v>
      </c>
      <c r="K679" t="s">
        <v>66</v>
      </c>
      <c r="L679" t="s">
        <v>2116</v>
      </c>
      <c r="M679" t="s">
        <v>44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32</v>
      </c>
      <c r="U679" t="s">
        <v>33</v>
      </c>
      <c r="V679" t="s">
        <v>2834</v>
      </c>
      <c r="W679" t="s">
        <v>2834</v>
      </c>
      <c r="X679" t="s">
        <v>2834</v>
      </c>
      <c r="Y679" t="s">
        <v>2834</v>
      </c>
      <c r="Z679">
        <v>5</v>
      </c>
      <c r="AA679" t="s">
        <v>2789</v>
      </c>
      <c r="AB679">
        <v>0</v>
      </c>
      <c r="AC679" t="s">
        <v>2794</v>
      </c>
      <c r="AD679">
        <v>18364.36</v>
      </c>
      <c r="AE679">
        <v>2918.5500000000011</v>
      </c>
      <c r="AF679">
        <v>0.15892467801763857</v>
      </c>
      <c r="AG679" t="s">
        <v>2825</v>
      </c>
      <c r="AH679">
        <v>2024</v>
      </c>
      <c r="AI679" t="s">
        <v>2835</v>
      </c>
    </row>
    <row r="680" spans="1:35">
      <c r="A680" t="s">
        <v>2117</v>
      </c>
      <c r="B680">
        <v>45620</v>
      </c>
      <c r="C680">
        <v>45627</v>
      </c>
      <c r="D680" t="s">
        <v>2118</v>
      </c>
      <c r="E680" t="s">
        <v>264</v>
      </c>
      <c r="F680" t="s">
        <v>90</v>
      </c>
      <c r="G680" t="s">
        <v>54</v>
      </c>
      <c r="H680" t="s">
        <v>175</v>
      </c>
      <c r="I680" t="s">
        <v>176</v>
      </c>
      <c r="J680" t="s">
        <v>41</v>
      </c>
      <c r="K680" t="s">
        <v>42</v>
      </c>
      <c r="L680" t="s">
        <v>2119</v>
      </c>
      <c r="M680" t="s">
        <v>31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32</v>
      </c>
      <c r="U680" t="s">
        <v>33</v>
      </c>
      <c r="V680" t="s">
        <v>2834</v>
      </c>
      <c r="W680" t="s">
        <v>2834</v>
      </c>
      <c r="X680" t="s">
        <v>2834</v>
      </c>
      <c r="Y680" t="s">
        <v>2834</v>
      </c>
      <c r="Z680">
        <v>7</v>
      </c>
      <c r="AA680" t="s">
        <v>2789</v>
      </c>
      <c r="AB680">
        <v>0.15</v>
      </c>
      <c r="AC680" t="s">
        <v>2794</v>
      </c>
      <c r="AD680">
        <v>21141.6165</v>
      </c>
      <c r="AE680">
        <v>9465.2865000000002</v>
      </c>
      <c r="AF680">
        <v>0.44770874071999178</v>
      </c>
      <c r="AG680" t="s">
        <v>2830</v>
      </c>
      <c r="AH680">
        <v>2024</v>
      </c>
      <c r="AI680" t="s">
        <v>2835</v>
      </c>
    </row>
    <row r="681" spans="1:35">
      <c r="A681" t="s">
        <v>2120</v>
      </c>
      <c r="B681">
        <v>45885</v>
      </c>
      <c r="C681">
        <v>45892</v>
      </c>
      <c r="D681" t="s">
        <v>2121</v>
      </c>
      <c r="E681" t="s">
        <v>141</v>
      </c>
      <c r="F681" t="s">
        <v>90</v>
      </c>
      <c r="G681" t="s">
        <v>25</v>
      </c>
      <c r="H681" t="s">
        <v>122</v>
      </c>
      <c r="I681" t="s">
        <v>123</v>
      </c>
      <c r="J681" t="s">
        <v>74</v>
      </c>
      <c r="K681" t="s">
        <v>80</v>
      </c>
      <c r="L681" t="s">
        <v>2122</v>
      </c>
      <c r="M681" t="s">
        <v>44</v>
      </c>
      <c r="N681">
        <v>4</v>
      </c>
      <c r="O681">
        <v>1410.57</v>
      </c>
      <c r="P681" t="s">
        <v>463</v>
      </c>
      <c r="Q681">
        <v>5360.17</v>
      </c>
      <c r="R681">
        <v>3881.51</v>
      </c>
      <c r="S681">
        <v>1478.66</v>
      </c>
      <c r="T681" t="s">
        <v>102</v>
      </c>
      <c r="U681" t="s">
        <v>68</v>
      </c>
      <c r="V681" t="s">
        <v>2834</v>
      </c>
      <c r="W681" t="s">
        <v>2834</v>
      </c>
      <c r="X681" t="s">
        <v>2834</v>
      </c>
      <c r="Y681" t="s">
        <v>2834</v>
      </c>
      <c r="Z681">
        <v>7</v>
      </c>
      <c r="AA681" t="s">
        <v>2789</v>
      </c>
      <c r="AB681">
        <v>0.7</v>
      </c>
      <c r="AC681" t="s">
        <v>2797</v>
      </c>
      <c r="AD681">
        <v>1692.6840000000002</v>
      </c>
      <c r="AE681">
        <v>-2188.826</v>
      </c>
      <c r="AF681">
        <v>-1.2931096412561351</v>
      </c>
      <c r="AG681" t="s">
        <v>2827</v>
      </c>
      <c r="AH681">
        <v>2025</v>
      </c>
      <c r="AI681" t="s">
        <v>2836</v>
      </c>
    </row>
    <row r="682" spans="1:35">
      <c r="A682" t="s">
        <v>2123</v>
      </c>
      <c r="B682">
        <v>45441</v>
      </c>
      <c r="C682">
        <v>45448</v>
      </c>
      <c r="D682" t="s">
        <v>2124</v>
      </c>
      <c r="E682" t="s">
        <v>264</v>
      </c>
      <c r="F682" t="s">
        <v>90</v>
      </c>
      <c r="G682" t="s">
        <v>54</v>
      </c>
      <c r="H682" t="s">
        <v>247</v>
      </c>
      <c r="I682" t="s">
        <v>248</v>
      </c>
      <c r="J682" t="s">
        <v>74</v>
      </c>
      <c r="K682" t="s">
        <v>75</v>
      </c>
      <c r="L682" t="s">
        <v>2125</v>
      </c>
      <c r="M682" t="s">
        <v>50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32</v>
      </c>
      <c r="U682" t="s">
        <v>33</v>
      </c>
      <c r="V682" t="s">
        <v>2834</v>
      </c>
      <c r="W682" t="s">
        <v>2834</v>
      </c>
      <c r="X682" t="s">
        <v>2834</v>
      </c>
      <c r="Y682" t="s">
        <v>2834</v>
      </c>
      <c r="Z682">
        <v>7</v>
      </c>
      <c r="AA682" t="s">
        <v>2789</v>
      </c>
      <c r="AB682">
        <v>0</v>
      </c>
      <c r="AC682" t="s">
        <v>2794</v>
      </c>
      <c r="AD682">
        <v>14800.96</v>
      </c>
      <c r="AE682">
        <v>2752.5699999999997</v>
      </c>
      <c r="AF682">
        <v>0.18597239638509933</v>
      </c>
      <c r="AG682" t="s">
        <v>2824</v>
      </c>
      <c r="AH682">
        <v>2024</v>
      </c>
      <c r="AI682" t="s">
        <v>2835</v>
      </c>
    </row>
    <row r="683" spans="1:35">
      <c r="A683" t="s">
        <v>2126</v>
      </c>
      <c r="B683">
        <v>45477</v>
      </c>
      <c r="C683">
        <v>45483</v>
      </c>
      <c r="D683" t="s">
        <v>2127</v>
      </c>
      <c r="E683" t="s">
        <v>71</v>
      </c>
      <c r="F683" t="s">
        <v>90</v>
      </c>
      <c r="G683" t="s">
        <v>25</v>
      </c>
      <c r="H683" t="s">
        <v>350</v>
      </c>
      <c r="I683" t="s">
        <v>351</v>
      </c>
      <c r="J683" t="s">
        <v>41</v>
      </c>
      <c r="K683" t="s">
        <v>42</v>
      </c>
      <c r="L683" t="s">
        <v>2128</v>
      </c>
      <c r="M683" t="s">
        <v>31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32</v>
      </c>
      <c r="U683" t="s">
        <v>68</v>
      </c>
      <c r="V683" t="s">
        <v>2834</v>
      </c>
      <c r="W683" t="s">
        <v>2834</v>
      </c>
      <c r="X683" t="s">
        <v>2834</v>
      </c>
      <c r="Y683" t="s">
        <v>2834</v>
      </c>
      <c r="Z683">
        <v>6</v>
      </c>
      <c r="AA683" t="s">
        <v>2789</v>
      </c>
      <c r="AB683">
        <v>0</v>
      </c>
      <c r="AC683" t="s">
        <v>2794</v>
      </c>
      <c r="AD683">
        <v>6001.35</v>
      </c>
      <c r="AE683">
        <v>1818.3600000000006</v>
      </c>
      <c r="AF683">
        <v>0.30299182683896131</v>
      </c>
      <c r="AG683" t="s">
        <v>2826</v>
      </c>
      <c r="AH683">
        <v>2024</v>
      </c>
      <c r="AI683" t="s">
        <v>2835</v>
      </c>
    </row>
    <row r="684" spans="1:35">
      <c r="A684" t="s">
        <v>2129</v>
      </c>
      <c r="B684">
        <v>45693</v>
      </c>
      <c r="C684">
        <v>45693</v>
      </c>
      <c r="D684" t="s">
        <v>2130</v>
      </c>
      <c r="E684" t="s">
        <v>62</v>
      </c>
      <c r="F684" t="s">
        <v>90</v>
      </c>
      <c r="G684" t="s">
        <v>25</v>
      </c>
      <c r="H684" t="s">
        <v>236</v>
      </c>
      <c r="I684" t="s">
        <v>237</v>
      </c>
      <c r="J684" t="s">
        <v>28</v>
      </c>
      <c r="K684" t="s">
        <v>124</v>
      </c>
      <c r="L684" t="s">
        <v>2131</v>
      </c>
      <c r="M684" t="s">
        <v>44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32</v>
      </c>
      <c r="U684" t="s">
        <v>33</v>
      </c>
      <c r="V684" t="s">
        <v>2834</v>
      </c>
      <c r="W684" t="s">
        <v>2834</v>
      </c>
      <c r="X684" t="s">
        <v>2834</v>
      </c>
      <c r="Y684" t="s">
        <v>2834</v>
      </c>
      <c r="Z684">
        <v>0</v>
      </c>
      <c r="AA684" t="s">
        <v>2789</v>
      </c>
      <c r="AB684">
        <v>0</v>
      </c>
      <c r="AC684" t="s">
        <v>2796</v>
      </c>
      <c r="AD684">
        <v>7772.34</v>
      </c>
      <c r="AE684">
        <v>3658.6800000000003</v>
      </c>
      <c r="AF684">
        <v>0.47073082237781677</v>
      </c>
      <c r="AG684" t="s">
        <v>2821</v>
      </c>
      <c r="AH684">
        <v>2025</v>
      </c>
      <c r="AI684" t="s">
        <v>2838</v>
      </c>
    </row>
    <row r="685" spans="1:35">
      <c r="A685" t="s">
        <v>2132</v>
      </c>
      <c r="B685">
        <v>45858</v>
      </c>
      <c r="C685">
        <v>45862</v>
      </c>
      <c r="D685" t="s">
        <v>2133</v>
      </c>
      <c r="E685" t="s">
        <v>53</v>
      </c>
      <c r="F685" t="s">
        <v>37</v>
      </c>
      <c r="G685" t="s">
        <v>54</v>
      </c>
      <c r="H685" t="s">
        <v>55</v>
      </c>
      <c r="I685" t="s">
        <v>56</v>
      </c>
      <c r="J685" t="s">
        <v>41</v>
      </c>
      <c r="K685" t="s">
        <v>57</v>
      </c>
      <c r="L685" t="s">
        <v>2134</v>
      </c>
      <c r="M685" t="s">
        <v>31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102</v>
      </c>
      <c r="U685" t="s">
        <v>68</v>
      </c>
      <c r="V685" t="s">
        <v>2834</v>
      </c>
      <c r="W685" t="s">
        <v>2834</v>
      </c>
      <c r="X685" t="s">
        <v>2834</v>
      </c>
      <c r="Y685" t="s">
        <v>2834</v>
      </c>
      <c r="Z685">
        <v>4</v>
      </c>
      <c r="AA685" t="s">
        <v>2789</v>
      </c>
      <c r="AB685">
        <v>0.2</v>
      </c>
      <c r="AC685" t="s">
        <v>2794</v>
      </c>
      <c r="AD685">
        <v>7902.9600000000009</v>
      </c>
      <c r="AE685">
        <v>2390.9300000000012</v>
      </c>
      <c r="AF685">
        <v>0.30253601182341816</v>
      </c>
      <c r="AG685" t="s">
        <v>2826</v>
      </c>
      <c r="AH685">
        <v>2025</v>
      </c>
      <c r="AI685" t="s">
        <v>2835</v>
      </c>
    </row>
    <row r="686" spans="1:35">
      <c r="A686" t="s">
        <v>2135</v>
      </c>
      <c r="B686">
        <v>45859</v>
      </c>
      <c r="C686">
        <v>45859</v>
      </c>
      <c r="D686" t="s">
        <v>2136</v>
      </c>
      <c r="E686" t="s">
        <v>47</v>
      </c>
      <c r="F686" t="s">
        <v>95</v>
      </c>
      <c r="G686" t="s">
        <v>54</v>
      </c>
      <c r="H686" t="s">
        <v>247</v>
      </c>
      <c r="I686" t="s">
        <v>248</v>
      </c>
      <c r="J686" t="s">
        <v>41</v>
      </c>
      <c r="K686" t="s">
        <v>158</v>
      </c>
      <c r="L686" t="s">
        <v>2137</v>
      </c>
      <c r="M686" t="s">
        <v>50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102</v>
      </c>
      <c r="U686" t="s">
        <v>68</v>
      </c>
      <c r="V686" t="s">
        <v>2834</v>
      </c>
      <c r="W686" t="s">
        <v>2834</v>
      </c>
      <c r="X686" t="s">
        <v>2834</v>
      </c>
      <c r="Y686" t="s">
        <v>2834</v>
      </c>
      <c r="Z686">
        <v>0</v>
      </c>
      <c r="AA686" t="s">
        <v>2789</v>
      </c>
      <c r="AB686">
        <v>0.2</v>
      </c>
      <c r="AC686" t="s">
        <v>2794</v>
      </c>
      <c r="AD686">
        <v>24621.239999999998</v>
      </c>
      <c r="AE686">
        <v>7465.7599999999984</v>
      </c>
      <c r="AF686">
        <v>0.3032243705028666</v>
      </c>
      <c r="AG686" t="s">
        <v>2826</v>
      </c>
      <c r="AH686">
        <v>2025</v>
      </c>
      <c r="AI686" t="s">
        <v>2835</v>
      </c>
    </row>
    <row r="687" spans="1:35">
      <c r="A687" t="s">
        <v>2138</v>
      </c>
      <c r="B687">
        <v>45931</v>
      </c>
      <c r="C687">
        <v>45933</v>
      </c>
      <c r="D687" t="s">
        <v>1804</v>
      </c>
      <c r="E687" t="s">
        <v>79</v>
      </c>
      <c r="F687" t="s">
        <v>90</v>
      </c>
      <c r="G687" t="s">
        <v>63</v>
      </c>
      <c r="H687" t="s">
        <v>190</v>
      </c>
      <c r="I687" t="s">
        <v>191</v>
      </c>
      <c r="J687" t="s">
        <v>28</v>
      </c>
      <c r="K687" t="s">
        <v>48</v>
      </c>
      <c r="L687" t="s">
        <v>2139</v>
      </c>
      <c r="M687" t="s">
        <v>59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155</v>
      </c>
      <c r="U687" t="s">
        <v>68</v>
      </c>
      <c r="V687" t="s">
        <v>2834</v>
      </c>
      <c r="W687" t="s">
        <v>2834</v>
      </c>
      <c r="X687" t="s">
        <v>2834</v>
      </c>
      <c r="Y687" t="s">
        <v>2834</v>
      </c>
      <c r="Z687">
        <v>2</v>
      </c>
      <c r="AA687" t="s">
        <v>2789</v>
      </c>
      <c r="AB687">
        <v>0.55000000000000004</v>
      </c>
      <c r="AC687" t="s">
        <v>2794</v>
      </c>
      <c r="AD687">
        <v>3313.5074999999993</v>
      </c>
      <c r="AE687">
        <v>-2293.2825000000007</v>
      </c>
      <c r="AF687">
        <v>-0.69210119488185895</v>
      </c>
      <c r="AG687" t="s">
        <v>2829</v>
      </c>
      <c r="AH687">
        <v>2025</v>
      </c>
      <c r="AI687" t="s">
        <v>2835</v>
      </c>
    </row>
    <row r="688" spans="1:35">
      <c r="A688" t="s">
        <v>2140</v>
      </c>
      <c r="B688">
        <v>45376</v>
      </c>
      <c r="C688">
        <v>45384</v>
      </c>
      <c r="D688" t="s">
        <v>2141</v>
      </c>
      <c r="E688" t="s">
        <v>132</v>
      </c>
      <c r="F688" t="s">
        <v>95</v>
      </c>
      <c r="G688" t="s">
        <v>54</v>
      </c>
      <c r="H688" t="s">
        <v>247</v>
      </c>
      <c r="I688" t="s">
        <v>248</v>
      </c>
      <c r="J688" t="s">
        <v>74</v>
      </c>
      <c r="K688" t="s">
        <v>80</v>
      </c>
      <c r="L688" t="s">
        <v>2142</v>
      </c>
      <c r="M688" t="s">
        <v>59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32</v>
      </c>
      <c r="U688" t="s">
        <v>33</v>
      </c>
      <c r="V688" t="s">
        <v>2834</v>
      </c>
      <c r="W688" t="s">
        <v>2834</v>
      </c>
      <c r="X688" t="s">
        <v>2834</v>
      </c>
      <c r="Y688" t="s">
        <v>2834</v>
      </c>
      <c r="Z688">
        <v>8</v>
      </c>
      <c r="AA688" t="s">
        <v>2789</v>
      </c>
      <c r="AB688">
        <v>0</v>
      </c>
      <c r="AC688" t="s">
        <v>2794</v>
      </c>
      <c r="AD688">
        <v>4698.26</v>
      </c>
      <c r="AE688">
        <v>2043.3400000000001</v>
      </c>
      <c r="AF688">
        <v>0.43491420227914163</v>
      </c>
      <c r="AG688" t="s">
        <v>2822</v>
      </c>
      <c r="AH688">
        <v>2024</v>
      </c>
      <c r="AI688" t="s">
        <v>2835</v>
      </c>
    </row>
    <row r="689" spans="1:35">
      <c r="A689" t="s">
        <v>2143</v>
      </c>
      <c r="B689">
        <v>45938</v>
      </c>
      <c r="C689">
        <v>45943</v>
      </c>
      <c r="D689" t="s">
        <v>2144</v>
      </c>
      <c r="E689" t="s">
        <v>36</v>
      </c>
      <c r="F689" t="s">
        <v>95</v>
      </c>
      <c r="G689" t="s">
        <v>25</v>
      </c>
      <c r="H689" t="s">
        <v>122</v>
      </c>
      <c r="I689" t="s">
        <v>123</v>
      </c>
      <c r="J689" t="s">
        <v>41</v>
      </c>
      <c r="K689" t="s">
        <v>42</v>
      </c>
      <c r="L689" t="s">
        <v>2145</v>
      </c>
      <c r="M689" t="s">
        <v>50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155</v>
      </c>
      <c r="U689" t="s">
        <v>68</v>
      </c>
      <c r="V689" t="s">
        <v>2834</v>
      </c>
      <c r="W689" t="s">
        <v>2834</v>
      </c>
      <c r="X689" t="s">
        <v>2834</v>
      </c>
      <c r="Y689" t="s">
        <v>2834</v>
      </c>
      <c r="Z689">
        <v>5</v>
      </c>
      <c r="AA689" t="s">
        <v>2789</v>
      </c>
      <c r="AB689">
        <v>0</v>
      </c>
      <c r="AC689" t="s">
        <v>2794</v>
      </c>
      <c r="AD689">
        <v>688.2</v>
      </c>
      <c r="AE689">
        <v>190.52000000000004</v>
      </c>
      <c r="AF689">
        <v>0.27683812845103173</v>
      </c>
      <c r="AG689" t="s">
        <v>2829</v>
      </c>
      <c r="AH689">
        <v>2025</v>
      </c>
      <c r="AI689" t="s">
        <v>2835</v>
      </c>
    </row>
    <row r="690" spans="1:35">
      <c r="A690" t="s">
        <v>2146</v>
      </c>
      <c r="B690">
        <v>45714</v>
      </c>
      <c r="C690">
        <v>45715</v>
      </c>
      <c r="D690" t="s">
        <v>2147</v>
      </c>
      <c r="E690" t="s">
        <v>79</v>
      </c>
      <c r="F690" t="s">
        <v>95</v>
      </c>
      <c r="G690" t="s">
        <v>25</v>
      </c>
      <c r="H690" t="s">
        <v>236</v>
      </c>
      <c r="I690" t="s">
        <v>237</v>
      </c>
      <c r="J690" t="s">
        <v>28</v>
      </c>
      <c r="K690" t="s">
        <v>48</v>
      </c>
      <c r="L690" t="s">
        <v>2148</v>
      </c>
      <c r="M690" t="s">
        <v>31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32</v>
      </c>
      <c r="U690" t="s">
        <v>33</v>
      </c>
      <c r="V690" t="s">
        <v>2834</v>
      </c>
      <c r="W690" t="s">
        <v>2834</v>
      </c>
      <c r="X690" t="s">
        <v>2834</v>
      </c>
      <c r="Y690" t="s">
        <v>2834</v>
      </c>
      <c r="Z690">
        <v>1</v>
      </c>
      <c r="AA690" t="s">
        <v>2789</v>
      </c>
      <c r="AB690">
        <v>0.15</v>
      </c>
      <c r="AC690" t="s">
        <v>2794</v>
      </c>
      <c r="AD690">
        <v>15492.065999999999</v>
      </c>
      <c r="AE690">
        <v>2910.8359999999993</v>
      </c>
      <c r="AF690">
        <v>0.18789204745190213</v>
      </c>
      <c r="AG690" t="s">
        <v>2821</v>
      </c>
      <c r="AH690">
        <v>2025</v>
      </c>
      <c r="AI690" t="s">
        <v>2835</v>
      </c>
    </row>
    <row r="691" spans="1:35">
      <c r="A691" t="s">
        <v>2149</v>
      </c>
      <c r="B691">
        <v>45570</v>
      </c>
      <c r="C691">
        <v>45571</v>
      </c>
      <c r="D691" t="s">
        <v>2150</v>
      </c>
      <c r="E691" t="s">
        <v>141</v>
      </c>
      <c r="F691" t="s">
        <v>37</v>
      </c>
      <c r="G691" t="s">
        <v>25</v>
      </c>
      <c r="H691" t="s">
        <v>122</v>
      </c>
      <c r="I691" t="s">
        <v>123</v>
      </c>
      <c r="J691" t="s">
        <v>41</v>
      </c>
      <c r="K691" t="s">
        <v>42</v>
      </c>
      <c r="L691" t="s">
        <v>2151</v>
      </c>
      <c r="M691" t="s">
        <v>59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155</v>
      </c>
      <c r="U691" t="s">
        <v>68</v>
      </c>
      <c r="V691" t="s">
        <v>2834</v>
      </c>
      <c r="W691" t="s">
        <v>2834</v>
      </c>
      <c r="X691" t="s">
        <v>2834</v>
      </c>
      <c r="Y691" t="s">
        <v>2834</v>
      </c>
      <c r="Z691">
        <v>1</v>
      </c>
      <c r="AA691" t="s">
        <v>2789</v>
      </c>
      <c r="AB691">
        <v>0.15</v>
      </c>
      <c r="AC691" t="s">
        <v>2794</v>
      </c>
      <c r="AD691">
        <v>3745.2870000000003</v>
      </c>
      <c r="AE691">
        <v>1442.6370000000002</v>
      </c>
      <c r="AF691">
        <v>0.38518730340291679</v>
      </c>
      <c r="AG691" t="s">
        <v>2829</v>
      </c>
      <c r="AH691">
        <v>2024</v>
      </c>
      <c r="AI691" t="s">
        <v>2835</v>
      </c>
    </row>
    <row r="692" spans="1:35">
      <c r="A692" t="s">
        <v>2152</v>
      </c>
      <c r="B692">
        <v>45546</v>
      </c>
      <c r="C692">
        <v>45550</v>
      </c>
      <c r="D692" t="s">
        <v>2153</v>
      </c>
      <c r="E692" t="s">
        <v>132</v>
      </c>
      <c r="F692" t="s">
        <v>90</v>
      </c>
      <c r="G692" t="s">
        <v>54</v>
      </c>
      <c r="H692" t="s">
        <v>247</v>
      </c>
      <c r="I692" t="s">
        <v>248</v>
      </c>
      <c r="J692" t="s">
        <v>28</v>
      </c>
      <c r="K692" t="s">
        <v>48</v>
      </c>
      <c r="L692" t="s">
        <v>2154</v>
      </c>
      <c r="M692" t="s">
        <v>59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155</v>
      </c>
      <c r="U692" t="s">
        <v>103</v>
      </c>
      <c r="V692" t="s">
        <v>2834</v>
      </c>
      <c r="W692" t="s">
        <v>2834</v>
      </c>
      <c r="X692" t="s">
        <v>2834</v>
      </c>
      <c r="Y692" t="s">
        <v>2834</v>
      </c>
      <c r="Z692">
        <v>4</v>
      </c>
      <c r="AA692" t="s">
        <v>2789</v>
      </c>
      <c r="AB692">
        <v>0</v>
      </c>
      <c r="AC692" t="s">
        <v>2794</v>
      </c>
      <c r="AD692">
        <v>3462.52</v>
      </c>
      <c r="AE692">
        <v>665.23</v>
      </c>
      <c r="AF692">
        <v>0.19212307798944123</v>
      </c>
      <c r="AG692" t="s">
        <v>2828</v>
      </c>
      <c r="AH692">
        <v>2024</v>
      </c>
      <c r="AI692" t="s">
        <v>2835</v>
      </c>
    </row>
    <row r="693" spans="1:35">
      <c r="A693" t="s">
        <v>2155</v>
      </c>
      <c r="B693">
        <v>45641</v>
      </c>
      <c r="C693">
        <v>45642</v>
      </c>
      <c r="D693" t="s">
        <v>2156</v>
      </c>
      <c r="E693" t="s">
        <v>141</v>
      </c>
      <c r="F693" t="s">
        <v>24</v>
      </c>
      <c r="G693" t="s">
        <v>38</v>
      </c>
      <c r="H693" t="s">
        <v>39</v>
      </c>
      <c r="I693" t="s">
        <v>40</v>
      </c>
      <c r="J693" t="s">
        <v>74</v>
      </c>
      <c r="K693" t="s">
        <v>80</v>
      </c>
      <c r="L693" t="s">
        <v>2157</v>
      </c>
      <c r="M693" t="s">
        <v>31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32</v>
      </c>
      <c r="U693" t="s">
        <v>33</v>
      </c>
      <c r="V693" t="s">
        <v>2834</v>
      </c>
      <c r="W693" t="s">
        <v>2834</v>
      </c>
      <c r="X693" t="s">
        <v>2834</v>
      </c>
      <c r="Y693" t="s">
        <v>2834</v>
      </c>
      <c r="Z693">
        <v>1</v>
      </c>
      <c r="AA693" t="s">
        <v>2789</v>
      </c>
      <c r="AB693">
        <v>0.05</v>
      </c>
      <c r="AC693" t="s">
        <v>2794</v>
      </c>
      <c r="AD693">
        <v>8767.1699999999983</v>
      </c>
      <c r="AE693">
        <v>3668.9699999999984</v>
      </c>
      <c r="AF693">
        <v>0.41848966085977563</v>
      </c>
      <c r="AG693" t="s">
        <v>2831</v>
      </c>
      <c r="AH693">
        <v>2024</v>
      </c>
      <c r="AI693" t="s">
        <v>2835</v>
      </c>
    </row>
    <row r="694" spans="1:35">
      <c r="A694" t="s">
        <v>2158</v>
      </c>
      <c r="B694">
        <v>45935</v>
      </c>
      <c r="C694">
        <v>45940</v>
      </c>
      <c r="D694" t="s">
        <v>2159</v>
      </c>
      <c r="E694" t="s">
        <v>47</v>
      </c>
      <c r="F694" t="s">
        <v>90</v>
      </c>
      <c r="G694" t="s">
        <v>54</v>
      </c>
      <c r="H694" t="s">
        <v>175</v>
      </c>
      <c r="I694" t="s">
        <v>176</v>
      </c>
      <c r="J694" t="s">
        <v>41</v>
      </c>
      <c r="K694" t="s">
        <v>57</v>
      </c>
      <c r="L694" t="s">
        <v>2160</v>
      </c>
      <c r="M694" t="s">
        <v>31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32</v>
      </c>
      <c r="U694" t="s">
        <v>33</v>
      </c>
      <c r="V694" t="s">
        <v>2834</v>
      </c>
      <c r="W694" t="s">
        <v>2834</v>
      </c>
      <c r="X694" t="s">
        <v>2834</v>
      </c>
      <c r="Y694" t="s">
        <v>2834</v>
      </c>
      <c r="Z694">
        <v>5</v>
      </c>
      <c r="AA694" t="s">
        <v>2789</v>
      </c>
      <c r="AB694">
        <v>0.1</v>
      </c>
      <c r="AC694" t="s">
        <v>2794</v>
      </c>
      <c r="AD694">
        <v>8516.4480000000003</v>
      </c>
      <c r="AE694">
        <v>2612.6379999999999</v>
      </c>
      <c r="AF694">
        <v>0.30677554774009069</v>
      </c>
      <c r="AG694" t="s">
        <v>2829</v>
      </c>
      <c r="AH694">
        <v>2025</v>
      </c>
      <c r="AI694" t="s">
        <v>2835</v>
      </c>
    </row>
    <row r="695" spans="1:35">
      <c r="A695" t="s">
        <v>2161</v>
      </c>
      <c r="B695">
        <v>45750</v>
      </c>
      <c r="C695">
        <v>45758</v>
      </c>
      <c r="D695" t="s">
        <v>2162</v>
      </c>
      <c r="E695" t="s">
        <v>53</v>
      </c>
      <c r="F695" t="s">
        <v>24</v>
      </c>
      <c r="G695" t="s">
        <v>54</v>
      </c>
      <c r="H695" t="s">
        <v>247</v>
      </c>
      <c r="I695" t="s">
        <v>248</v>
      </c>
      <c r="J695" t="s">
        <v>41</v>
      </c>
      <c r="K695" t="s">
        <v>158</v>
      </c>
      <c r="L695" t="s">
        <v>2163</v>
      </c>
      <c r="M695" t="s">
        <v>31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32</v>
      </c>
      <c r="U695" t="s">
        <v>33</v>
      </c>
      <c r="V695" t="s">
        <v>2834</v>
      </c>
      <c r="W695" t="s">
        <v>2834</v>
      </c>
      <c r="X695" t="s">
        <v>2834</v>
      </c>
      <c r="Y695" t="s">
        <v>2834</v>
      </c>
      <c r="Z695">
        <v>8</v>
      </c>
      <c r="AA695" t="s">
        <v>2789</v>
      </c>
      <c r="AB695">
        <v>0.05</v>
      </c>
      <c r="AC695" t="s">
        <v>2794</v>
      </c>
      <c r="AD695">
        <v>11826.844500000001</v>
      </c>
      <c r="AE695">
        <v>3790.884500000001</v>
      </c>
      <c r="AF695">
        <v>0.32053220112938835</v>
      </c>
      <c r="AG695" t="s">
        <v>2823</v>
      </c>
      <c r="AH695">
        <v>2025</v>
      </c>
      <c r="AI695" t="s">
        <v>2835</v>
      </c>
    </row>
    <row r="696" spans="1:35">
      <c r="A696" t="s">
        <v>2164</v>
      </c>
      <c r="B696">
        <v>45870</v>
      </c>
      <c r="C696">
        <v>45878</v>
      </c>
      <c r="D696" t="s">
        <v>1137</v>
      </c>
      <c r="E696" t="s">
        <v>47</v>
      </c>
      <c r="F696" t="s">
        <v>24</v>
      </c>
      <c r="G696" t="s">
        <v>54</v>
      </c>
      <c r="H696" t="s">
        <v>84</v>
      </c>
      <c r="I696" t="s">
        <v>85</v>
      </c>
      <c r="J696" t="s">
        <v>28</v>
      </c>
      <c r="K696" t="s">
        <v>124</v>
      </c>
      <c r="L696" t="s">
        <v>2165</v>
      </c>
      <c r="M696" t="s">
        <v>50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32</v>
      </c>
      <c r="U696" t="s">
        <v>33</v>
      </c>
      <c r="V696" t="s">
        <v>2834</v>
      </c>
      <c r="W696" t="s">
        <v>2834</v>
      </c>
      <c r="X696" t="s">
        <v>2834</v>
      </c>
      <c r="Y696" t="s">
        <v>2834</v>
      </c>
      <c r="Z696">
        <v>8</v>
      </c>
      <c r="AA696" t="s">
        <v>2789</v>
      </c>
      <c r="AB696">
        <v>0.15</v>
      </c>
      <c r="AC696" t="s">
        <v>2794</v>
      </c>
      <c r="AD696">
        <v>11629.019999999999</v>
      </c>
      <c r="AE696">
        <v>2001.8099999999995</v>
      </c>
      <c r="AF696">
        <v>0.17213918283741877</v>
      </c>
      <c r="AG696" t="s">
        <v>2827</v>
      </c>
      <c r="AH696">
        <v>2025</v>
      </c>
      <c r="AI696" t="s">
        <v>2835</v>
      </c>
    </row>
    <row r="697" spans="1:35">
      <c r="A697" t="s">
        <v>2166</v>
      </c>
      <c r="B697">
        <v>45474</v>
      </c>
      <c r="C697">
        <v>45474</v>
      </c>
      <c r="D697" t="s">
        <v>2167</v>
      </c>
      <c r="E697" t="s">
        <v>128</v>
      </c>
      <c r="F697" t="s">
        <v>24</v>
      </c>
      <c r="G697" t="s">
        <v>63</v>
      </c>
      <c r="H697" t="s">
        <v>72</v>
      </c>
      <c r="I697" t="s">
        <v>73</v>
      </c>
      <c r="J697" t="s">
        <v>74</v>
      </c>
      <c r="K697" t="s">
        <v>274</v>
      </c>
      <c r="L697" t="s">
        <v>2168</v>
      </c>
      <c r="M697" t="s">
        <v>59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32</v>
      </c>
      <c r="U697" t="s">
        <v>33</v>
      </c>
      <c r="V697" t="s">
        <v>2834</v>
      </c>
      <c r="W697" t="s">
        <v>2834</v>
      </c>
      <c r="X697" t="s">
        <v>2834</v>
      </c>
      <c r="Y697" t="s">
        <v>2834</v>
      </c>
      <c r="Z697">
        <v>0</v>
      </c>
      <c r="AA697" t="s">
        <v>2789</v>
      </c>
      <c r="AB697">
        <v>0</v>
      </c>
      <c r="AC697" t="s">
        <v>2794</v>
      </c>
      <c r="AD697">
        <v>1029.56</v>
      </c>
      <c r="AE697">
        <v>403.2299999999999</v>
      </c>
      <c r="AF697">
        <v>0.39165274486188267</v>
      </c>
      <c r="AG697" t="s">
        <v>2826</v>
      </c>
      <c r="AH697">
        <v>2024</v>
      </c>
      <c r="AI697" t="s">
        <v>2835</v>
      </c>
    </row>
    <row r="698" spans="1:35">
      <c r="A698" t="s">
        <v>2169</v>
      </c>
      <c r="B698">
        <v>45922</v>
      </c>
      <c r="C698">
        <v>45925</v>
      </c>
      <c r="D698" t="s">
        <v>2170</v>
      </c>
      <c r="E698" t="s">
        <v>47</v>
      </c>
      <c r="F698" t="s">
        <v>37</v>
      </c>
      <c r="G698" t="s">
        <v>54</v>
      </c>
      <c r="H698" t="s">
        <v>185</v>
      </c>
      <c r="I698" t="s">
        <v>186</v>
      </c>
      <c r="J698" t="s">
        <v>74</v>
      </c>
      <c r="K698" t="s">
        <v>171</v>
      </c>
      <c r="L698" t="s">
        <v>2171</v>
      </c>
      <c r="M698" t="s">
        <v>2791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32</v>
      </c>
      <c r="U698" t="s">
        <v>33</v>
      </c>
      <c r="V698" t="s">
        <v>2834</v>
      </c>
      <c r="W698" t="s">
        <v>2834</v>
      </c>
      <c r="X698" t="s">
        <v>2834</v>
      </c>
      <c r="Y698" t="s">
        <v>2834</v>
      </c>
      <c r="Z698">
        <v>3</v>
      </c>
      <c r="AA698" t="s">
        <v>2789</v>
      </c>
      <c r="AB698">
        <v>0.25</v>
      </c>
      <c r="AC698" t="s">
        <v>2794</v>
      </c>
      <c r="AD698">
        <v>3536.5199999999995</v>
      </c>
      <c r="AE698">
        <v>1434.1099999999997</v>
      </c>
      <c r="AF698">
        <v>0.40551446054313278</v>
      </c>
      <c r="AG698" t="s">
        <v>2828</v>
      </c>
      <c r="AH698">
        <v>2025</v>
      </c>
      <c r="AI698" t="s">
        <v>2838</v>
      </c>
    </row>
    <row r="699" spans="1:35">
      <c r="A699" t="s">
        <v>2172</v>
      </c>
      <c r="B699">
        <v>45717</v>
      </c>
      <c r="C699">
        <v>45723</v>
      </c>
      <c r="D699" t="s">
        <v>2173</v>
      </c>
      <c r="E699" t="s">
        <v>53</v>
      </c>
      <c r="F699" t="s">
        <v>90</v>
      </c>
      <c r="G699" t="s">
        <v>54</v>
      </c>
      <c r="H699" t="s">
        <v>84</v>
      </c>
      <c r="I699" t="s">
        <v>85</v>
      </c>
      <c r="J699" t="s">
        <v>28</v>
      </c>
      <c r="K699" t="s">
        <v>91</v>
      </c>
      <c r="L699" t="s">
        <v>2174</v>
      </c>
      <c r="M699" t="s">
        <v>50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102</v>
      </c>
      <c r="U699" t="s">
        <v>103</v>
      </c>
      <c r="V699" t="s">
        <v>2834</v>
      </c>
      <c r="W699" t="s">
        <v>2834</v>
      </c>
      <c r="X699" t="s">
        <v>2834</v>
      </c>
      <c r="Y699" t="s">
        <v>2834</v>
      </c>
      <c r="Z699">
        <v>6</v>
      </c>
      <c r="AA699" t="s">
        <v>2789</v>
      </c>
      <c r="AB699">
        <v>0</v>
      </c>
      <c r="AC699" t="s">
        <v>2796</v>
      </c>
      <c r="AD699">
        <v>3970.0499999999997</v>
      </c>
      <c r="AE699">
        <v>2120.75</v>
      </c>
      <c r="AF699">
        <v>0.53418722686112274</v>
      </c>
      <c r="AG699" t="s">
        <v>2822</v>
      </c>
      <c r="AH699">
        <v>2025</v>
      </c>
      <c r="AI699" t="s">
        <v>2838</v>
      </c>
    </row>
    <row r="700" spans="1:35">
      <c r="A700" t="s">
        <v>2175</v>
      </c>
      <c r="B700">
        <v>45549</v>
      </c>
      <c r="C700">
        <v>45549</v>
      </c>
      <c r="D700" t="s">
        <v>2176</v>
      </c>
      <c r="E700" t="s">
        <v>36</v>
      </c>
      <c r="F700" t="s">
        <v>90</v>
      </c>
      <c r="G700" t="s">
        <v>25</v>
      </c>
      <c r="H700" t="s">
        <v>26</v>
      </c>
      <c r="I700" t="s">
        <v>27</v>
      </c>
      <c r="J700" t="s">
        <v>74</v>
      </c>
      <c r="K700" t="s">
        <v>274</v>
      </c>
      <c r="L700" t="s">
        <v>2177</v>
      </c>
      <c r="M700" t="s">
        <v>59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32</v>
      </c>
      <c r="U700" t="s">
        <v>103</v>
      </c>
      <c r="V700" t="s">
        <v>2834</v>
      </c>
      <c r="W700" t="s">
        <v>2834</v>
      </c>
      <c r="X700" t="s">
        <v>2834</v>
      </c>
      <c r="Y700" t="s">
        <v>2834</v>
      </c>
      <c r="Z700">
        <v>0</v>
      </c>
      <c r="AA700" t="s">
        <v>2789</v>
      </c>
      <c r="AB700">
        <v>0.15</v>
      </c>
      <c r="AC700" t="s">
        <v>2794</v>
      </c>
      <c r="AD700">
        <v>27755.287999999997</v>
      </c>
      <c r="AE700">
        <v>4003.377999999997</v>
      </c>
      <c r="AF700">
        <v>0.14423838801456493</v>
      </c>
      <c r="AG700" t="s">
        <v>2828</v>
      </c>
      <c r="AH700">
        <v>2024</v>
      </c>
      <c r="AI700" t="s">
        <v>2835</v>
      </c>
    </row>
    <row r="701" spans="1:35">
      <c r="A701" t="s">
        <v>2178</v>
      </c>
      <c r="B701">
        <v>45454</v>
      </c>
      <c r="C701">
        <v>45454</v>
      </c>
      <c r="D701" t="s">
        <v>2179</v>
      </c>
      <c r="E701" t="s">
        <v>53</v>
      </c>
      <c r="F701" t="s">
        <v>37</v>
      </c>
      <c r="G701" t="s">
        <v>54</v>
      </c>
      <c r="H701" t="s">
        <v>175</v>
      </c>
      <c r="I701" t="s">
        <v>176</v>
      </c>
      <c r="J701" t="s">
        <v>41</v>
      </c>
      <c r="K701" t="s">
        <v>158</v>
      </c>
      <c r="L701" t="s">
        <v>2180</v>
      </c>
      <c r="M701" t="s">
        <v>59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32</v>
      </c>
      <c r="U701" t="s">
        <v>33</v>
      </c>
      <c r="V701" t="s">
        <v>2834</v>
      </c>
      <c r="W701" t="s">
        <v>2834</v>
      </c>
      <c r="X701" t="s">
        <v>2834</v>
      </c>
      <c r="Y701" t="s">
        <v>2834</v>
      </c>
      <c r="Z701">
        <v>0</v>
      </c>
      <c r="AA701" t="s">
        <v>2789</v>
      </c>
      <c r="AB701">
        <v>0.25</v>
      </c>
      <c r="AC701" t="s">
        <v>2794</v>
      </c>
      <c r="AD701">
        <v>9450.7425000000003</v>
      </c>
      <c r="AE701">
        <v>1652.1824999999999</v>
      </c>
      <c r="AF701">
        <v>0.17482039109625511</v>
      </c>
      <c r="AG701" t="s">
        <v>2825</v>
      </c>
      <c r="AH701">
        <v>2024</v>
      </c>
      <c r="AI701" t="s">
        <v>2835</v>
      </c>
    </row>
    <row r="702" spans="1:35">
      <c r="A702" t="s">
        <v>2181</v>
      </c>
      <c r="B702">
        <v>45553</v>
      </c>
      <c r="C702">
        <v>45556</v>
      </c>
      <c r="D702" t="s">
        <v>2182</v>
      </c>
      <c r="E702" t="s">
        <v>79</v>
      </c>
      <c r="F702" t="s">
        <v>90</v>
      </c>
      <c r="G702" t="s">
        <v>38</v>
      </c>
      <c r="H702" t="s">
        <v>99</v>
      </c>
      <c r="I702" t="s">
        <v>100</v>
      </c>
      <c r="J702" t="s">
        <v>74</v>
      </c>
      <c r="K702" t="s">
        <v>274</v>
      </c>
      <c r="L702" t="s">
        <v>2183</v>
      </c>
      <c r="M702" t="s">
        <v>59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32</v>
      </c>
      <c r="U702" t="s">
        <v>33</v>
      </c>
      <c r="V702" t="s">
        <v>2834</v>
      </c>
      <c r="W702" t="s">
        <v>2834</v>
      </c>
      <c r="X702" t="s">
        <v>2834</v>
      </c>
      <c r="Y702" t="s">
        <v>2834</v>
      </c>
      <c r="Z702">
        <v>3</v>
      </c>
      <c r="AA702" t="s">
        <v>2789</v>
      </c>
      <c r="AB702">
        <v>0.15</v>
      </c>
      <c r="AC702" t="s">
        <v>2794</v>
      </c>
      <c r="AD702">
        <v>7792.5450000000001</v>
      </c>
      <c r="AE702">
        <v>3100.8150000000005</v>
      </c>
      <c r="AF702">
        <v>0.39792070498149201</v>
      </c>
      <c r="AG702" t="s">
        <v>2828</v>
      </c>
      <c r="AH702">
        <v>2024</v>
      </c>
      <c r="AI702" t="s">
        <v>2835</v>
      </c>
    </row>
    <row r="703" spans="1:35">
      <c r="A703" t="s">
        <v>2184</v>
      </c>
      <c r="B703">
        <v>45412</v>
      </c>
      <c r="C703">
        <v>45416</v>
      </c>
      <c r="D703" t="s">
        <v>2185</v>
      </c>
      <c r="E703" t="s">
        <v>141</v>
      </c>
      <c r="F703" t="s">
        <v>37</v>
      </c>
      <c r="G703" t="s">
        <v>63</v>
      </c>
      <c r="H703" t="s">
        <v>180</v>
      </c>
      <c r="I703" t="s">
        <v>181</v>
      </c>
      <c r="J703" t="s">
        <v>28</v>
      </c>
      <c r="K703" t="s">
        <v>48</v>
      </c>
      <c r="L703" t="s">
        <v>2186</v>
      </c>
      <c r="M703" t="s">
        <v>44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32</v>
      </c>
      <c r="U703" t="s">
        <v>103</v>
      </c>
      <c r="V703" t="s">
        <v>2834</v>
      </c>
      <c r="W703" t="s">
        <v>2834</v>
      </c>
      <c r="X703" t="s">
        <v>2834</v>
      </c>
      <c r="Y703" t="s">
        <v>2834</v>
      </c>
      <c r="Z703">
        <v>4</v>
      </c>
      <c r="AA703" t="s">
        <v>2789</v>
      </c>
      <c r="AB703">
        <v>0</v>
      </c>
      <c r="AC703" t="s">
        <v>2794</v>
      </c>
      <c r="AD703">
        <v>8574.58</v>
      </c>
      <c r="AE703">
        <v>1888.7699999999995</v>
      </c>
      <c r="AF703">
        <v>0.22027551203674112</v>
      </c>
      <c r="AG703" t="s">
        <v>2823</v>
      </c>
      <c r="AH703">
        <v>2024</v>
      </c>
      <c r="AI703" t="s">
        <v>2835</v>
      </c>
    </row>
    <row r="704" spans="1:35">
      <c r="A704" t="s">
        <v>2187</v>
      </c>
      <c r="B704">
        <v>45690</v>
      </c>
      <c r="C704">
        <v>45694</v>
      </c>
      <c r="D704" t="s">
        <v>2188</v>
      </c>
      <c r="E704" t="s">
        <v>23</v>
      </c>
      <c r="F704" t="s">
        <v>37</v>
      </c>
      <c r="G704" t="s">
        <v>63</v>
      </c>
      <c r="H704" t="s">
        <v>26</v>
      </c>
      <c r="I704" t="s">
        <v>109</v>
      </c>
      <c r="J704" t="s">
        <v>41</v>
      </c>
      <c r="K704" t="s">
        <v>42</v>
      </c>
      <c r="L704" t="s">
        <v>2189</v>
      </c>
      <c r="M704" t="s">
        <v>31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32</v>
      </c>
      <c r="U704" t="s">
        <v>33</v>
      </c>
      <c r="V704" t="s">
        <v>2834</v>
      </c>
      <c r="W704" t="s">
        <v>2834</v>
      </c>
      <c r="X704" t="s">
        <v>2834</v>
      </c>
      <c r="Y704" t="s">
        <v>2834</v>
      </c>
      <c r="Z704">
        <v>4</v>
      </c>
      <c r="AA704" t="s">
        <v>2789</v>
      </c>
      <c r="AB704">
        <v>0.1</v>
      </c>
      <c r="AC704" t="s">
        <v>2794</v>
      </c>
      <c r="AD704">
        <v>2692.8180000000002</v>
      </c>
      <c r="AE704">
        <v>872.73800000000028</v>
      </c>
      <c r="AF704">
        <v>0.32409839803506968</v>
      </c>
      <c r="AG704" t="s">
        <v>2821</v>
      </c>
      <c r="AH704">
        <v>2025</v>
      </c>
      <c r="AI704" t="s">
        <v>2835</v>
      </c>
    </row>
    <row r="705" spans="1:35">
      <c r="A705" t="s">
        <v>2190</v>
      </c>
      <c r="B705">
        <v>45584</v>
      </c>
      <c r="C705">
        <v>45585</v>
      </c>
      <c r="D705" t="s">
        <v>2191</v>
      </c>
      <c r="E705" t="s">
        <v>89</v>
      </c>
      <c r="F705" t="s">
        <v>90</v>
      </c>
      <c r="G705" t="s">
        <v>25</v>
      </c>
      <c r="H705" t="s">
        <v>26</v>
      </c>
      <c r="I705" t="s">
        <v>27</v>
      </c>
      <c r="J705" t="s">
        <v>41</v>
      </c>
      <c r="K705" t="s">
        <v>42</v>
      </c>
      <c r="L705" t="s">
        <v>2192</v>
      </c>
      <c r="M705" t="s">
        <v>50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32</v>
      </c>
      <c r="U705" t="s">
        <v>33</v>
      </c>
      <c r="V705" t="s">
        <v>2834</v>
      </c>
      <c r="W705" t="s">
        <v>2834</v>
      </c>
      <c r="X705" t="s">
        <v>2834</v>
      </c>
      <c r="Y705" t="s">
        <v>2834</v>
      </c>
      <c r="Z705">
        <v>1</v>
      </c>
      <c r="AA705" t="s">
        <v>2789</v>
      </c>
      <c r="AB705">
        <v>0.1</v>
      </c>
      <c r="AC705" t="s">
        <v>2794</v>
      </c>
      <c r="AD705">
        <v>1035.027</v>
      </c>
      <c r="AE705">
        <v>180.67700000000002</v>
      </c>
      <c r="AF705">
        <v>0.1745625959516032</v>
      </c>
      <c r="AG705" t="s">
        <v>2829</v>
      </c>
      <c r="AH705">
        <v>2024</v>
      </c>
      <c r="AI705" t="s">
        <v>2835</v>
      </c>
    </row>
    <row r="706" spans="1:35">
      <c r="A706" t="s">
        <v>2193</v>
      </c>
      <c r="B706">
        <v>45364</v>
      </c>
      <c r="C706">
        <v>45371</v>
      </c>
      <c r="D706" t="s">
        <v>2194</v>
      </c>
      <c r="E706" t="s">
        <v>114</v>
      </c>
      <c r="F706" t="s">
        <v>95</v>
      </c>
      <c r="G706" t="s">
        <v>54</v>
      </c>
      <c r="H706" t="s">
        <v>247</v>
      </c>
      <c r="I706" t="s">
        <v>248</v>
      </c>
      <c r="J706" t="s">
        <v>41</v>
      </c>
      <c r="K706" t="s">
        <v>158</v>
      </c>
      <c r="L706" t="s">
        <v>2195</v>
      </c>
      <c r="M706" t="s">
        <v>2791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32</v>
      </c>
      <c r="U706" t="s">
        <v>33</v>
      </c>
      <c r="V706" t="s">
        <v>2834</v>
      </c>
      <c r="W706" t="s">
        <v>2834</v>
      </c>
      <c r="X706" t="s">
        <v>2834</v>
      </c>
      <c r="Y706" t="s">
        <v>2834</v>
      </c>
      <c r="Z706">
        <v>7</v>
      </c>
      <c r="AA706" t="s">
        <v>2789</v>
      </c>
      <c r="AB706">
        <v>0.15</v>
      </c>
      <c r="AC706" t="s">
        <v>2794</v>
      </c>
      <c r="AD706">
        <v>2401.7855</v>
      </c>
      <c r="AE706">
        <v>581.44550000000004</v>
      </c>
      <c r="AF706">
        <v>0.24208885431276025</v>
      </c>
      <c r="AG706" t="s">
        <v>2822</v>
      </c>
      <c r="AH706">
        <v>2024</v>
      </c>
      <c r="AI706" t="s">
        <v>2838</v>
      </c>
    </row>
    <row r="707" spans="1:35">
      <c r="A707" t="s">
        <v>2196</v>
      </c>
      <c r="B707">
        <v>45543</v>
      </c>
      <c r="C707">
        <v>45549</v>
      </c>
      <c r="D707" t="s">
        <v>2197</v>
      </c>
      <c r="E707" t="s">
        <v>141</v>
      </c>
      <c r="F707" t="s">
        <v>24</v>
      </c>
      <c r="G707" t="s">
        <v>25</v>
      </c>
      <c r="H707" t="s">
        <v>26</v>
      </c>
      <c r="I707" t="s">
        <v>27</v>
      </c>
      <c r="J707" t="s">
        <v>28</v>
      </c>
      <c r="K707" t="s">
        <v>153</v>
      </c>
      <c r="L707" t="s">
        <v>2198</v>
      </c>
      <c r="M707" t="s">
        <v>59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32</v>
      </c>
      <c r="U707" t="s">
        <v>33</v>
      </c>
      <c r="V707" t="s">
        <v>2834</v>
      </c>
      <c r="W707" t="s">
        <v>2834</v>
      </c>
      <c r="X707" t="s">
        <v>2834</v>
      </c>
      <c r="Y707" t="s">
        <v>2834</v>
      </c>
      <c r="Z707">
        <v>6</v>
      </c>
      <c r="AA707" t="s">
        <v>2789</v>
      </c>
      <c r="AB707">
        <v>0.05</v>
      </c>
      <c r="AC707" t="s">
        <v>2794</v>
      </c>
      <c r="AD707">
        <v>16015.8125</v>
      </c>
      <c r="AE707">
        <v>4663.4325000000008</v>
      </c>
      <c r="AF707">
        <v>0.29117676671102394</v>
      </c>
      <c r="AG707" t="s">
        <v>2828</v>
      </c>
      <c r="AH707">
        <v>2024</v>
      </c>
      <c r="AI707" t="s">
        <v>2835</v>
      </c>
    </row>
    <row r="708" spans="1:35">
      <c r="A708" t="s">
        <v>2199</v>
      </c>
      <c r="B708">
        <v>45467</v>
      </c>
      <c r="C708">
        <v>45471</v>
      </c>
      <c r="D708" t="s">
        <v>2200</v>
      </c>
      <c r="E708" t="s">
        <v>47</v>
      </c>
      <c r="F708" t="s">
        <v>37</v>
      </c>
      <c r="G708" t="s">
        <v>38</v>
      </c>
      <c r="H708" t="s">
        <v>39</v>
      </c>
      <c r="I708" t="s">
        <v>40</v>
      </c>
      <c r="J708" t="s">
        <v>28</v>
      </c>
      <c r="K708" t="s">
        <v>29</v>
      </c>
      <c r="L708" t="s">
        <v>2201</v>
      </c>
      <c r="M708" t="s">
        <v>44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32</v>
      </c>
      <c r="U708" t="s">
        <v>33</v>
      </c>
      <c r="V708" t="s">
        <v>2834</v>
      </c>
      <c r="W708" t="s">
        <v>2834</v>
      </c>
      <c r="X708" t="s">
        <v>2834</v>
      </c>
      <c r="Y708" t="s">
        <v>2834</v>
      </c>
      <c r="Z708">
        <v>4</v>
      </c>
      <c r="AA708" t="s">
        <v>2789</v>
      </c>
      <c r="AB708">
        <v>0.1</v>
      </c>
      <c r="AC708" t="s">
        <v>2794</v>
      </c>
      <c r="AD708">
        <v>1901.4750000000001</v>
      </c>
      <c r="AE708">
        <v>547.19500000000016</v>
      </c>
      <c r="AF708">
        <v>0.28777396494826391</v>
      </c>
      <c r="AG708" t="s">
        <v>2825</v>
      </c>
      <c r="AH708">
        <v>2024</v>
      </c>
      <c r="AI708" t="s">
        <v>2835</v>
      </c>
    </row>
    <row r="709" spans="1:35">
      <c r="A709" t="s">
        <v>2202</v>
      </c>
      <c r="B709">
        <v>45832</v>
      </c>
      <c r="C709">
        <v>45834</v>
      </c>
      <c r="D709" t="s">
        <v>2203</v>
      </c>
      <c r="E709" t="s">
        <v>71</v>
      </c>
      <c r="F709" t="s">
        <v>24</v>
      </c>
      <c r="G709" t="s">
        <v>25</v>
      </c>
      <c r="H709" t="s">
        <v>26</v>
      </c>
      <c r="I709" t="s">
        <v>27</v>
      </c>
      <c r="J709" t="s">
        <v>74</v>
      </c>
      <c r="K709" t="s">
        <v>75</v>
      </c>
      <c r="L709" t="s">
        <v>2204</v>
      </c>
      <c r="M709" t="s">
        <v>44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32</v>
      </c>
      <c r="U709" t="s">
        <v>33</v>
      </c>
      <c r="V709" t="s">
        <v>2834</v>
      </c>
      <c r="W709" t="s">
        <v>2834</v>
      </c>
      <c r="X709" t="s">
        <v>2834</v>
      </c>
      <c r="Y709" t="s">
        <v>2834</v>
      </c>
      <c r="Z709">
        <v>2</v>
      </c>
      <c r="AA709" t="s">
        <v>2789</v>
      </c>
      <c r="AB709">
        <v>0.55000000000000004</v>
      </c>
      <c r="AC709" t="s">
        <v>2794</v>
      </c>
      <c r="AD709">
        <v>8375.9849999999988</v>
      </c>
      <c r="AE709">
        <v>-3302.3350000000009</v>
      </c>
      <c r="AF709">
        <v>-0.39426228676388525</v>
      </c>
      <c r="AG709" t="s">
        <v>2825</v>
      </c>
      <c r="AH709">
        <v>2025</v>
      </c>
      <c r="AI709" t="s">
        <v>2835</v>
      </c>
    </row>
    <row r="710" spans="1:35">
      <c r="A710" t="s">
        <v>2205</v>
      </c>
      <c r="B710">
        <v>45736</v>
      </c>
      <c r="C710">
        <v>45742</v>
      </c>
      <c r="D710" t="s">
        <v>2206</v>
      </c>
      <c r="E710" t="s">
        <v>132</v>
      </c>
      <c r="F710" t="s">
        <v>24</v>
      </c>
      <c r="G710" t="s">
        <v>38</v>
      </c>
      <c r="H710" t="s">
        <v>166</v>
      </c>
      <c r="I710" t="s">
        <v>167</v>
      </c>
      <c r="J710" t="s">
        <v>41</v>
      </c>
      <c r="K710" t="s">
        <v>158</v>
      </c>
      <c r="L710" t="s">
        <v>2207</v>
      </c>
      <c r="M710" t="s">
        <v>50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32</v>
      </c>
      <c r="U710" t="s">
        <v>33</v>
      </c>
      <c r="V710" t="s">
        <v>2834</v>
      </c>
      <c r="W710" t="s">
        <v>2834</v>
      </c>
      <c r="X710" t="s">
        <v>2834</v>
      </c>
      <c r="Y710" t="s">
        <v>2834</v>
      </c>
      <c r="Z710">
        <v>6</v>
      </c>
      <c r="AA710" t="s">
        <v>2789</v>
      </c>
      <c r="AB710">
        <v>0.05</v>
      </c>
      <c r="AC710" t="s">
        <v>2794</v>
      </c>
      <c r="AD710">
        <v>16559.108</v>
      </c>
      <c r="AE710">
        <v>3325.3179999999993</v>
      </c>
      <c r="AF710">
        <v>0.20081504390212318</v>
      </c>
      <c r="AG710" t="s">
        <v>2822</v>
      </c>
      <c r="AH710">
        <v>2025</v>
      </c>
      <c r="AI710" t="s">
        <v>2835</v>
      </c>
    </row>
    <row r="711" spans="1:35">
      <c r="A711" t="s">
        <v>2208</v>
      </c>
      <c r="B711">
        <v>45676</v>
      </c>
      <c r="C711">
        <v>45680</v>
      </c>
      <c r="D711" t="s">
        <v>2209</v>
      </c>
      <c r="E711" t="s">
        <v>264</v>
      </c>
      <c r="F711" t="s">
        <v>95</v>
      </c>
      <c r="G711" t="s">
        <v>25</v>
      </c>
      <c r="H711" t="s">
        <v>122</v>
      </c>
      <c r="I711" t="s">
        <v>123</v>
      </c>
      <c r="J711" t="s">
        <v>74</v>
      </c>
      <c r="K711" t="s">
        <v>171</v>
      </c>
      <c r="L711" t="s">
        <v>2210</v>
      </c>
      <c r="M711" t="s">
        <v>44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32</v>
      </c>
      <c r="U711" t="s">
        <v>68</v>
      </c>
      <c r="V711" t="s">
        <v>2834</v>
      </c>
      <c r="W711" t="s">
        <v>2834</v>
      </c>
      <c r="X711" t="s">
        <v>2834</v>
      </c>
      <c r="Y711" t="s">
        <v>2834</v>
      </c>
      <c r="Z711">
        <v>4</v>
      </c>
      <c r="AA711" t="s">
        <v>2789</v>
      </c>
      <c r="AB711">
        <v>0.15</v>
      </c>
      <c r="AC711" t="s">
        <v>2794</v>
      </c>
      <c r="AD711">
        <v>8110.0879999999988</v>
      </c>
      <c r="AE711">
        <v>1692.7679999999991</v>
      </c>
      <c r="AF711">
        <v>0.2087237524426368</v>
      </c>
      <c r="AG711" t="s">
        <v>2820</v>
      </c>
      <c r="AH711">
        <v>2025</v>
      </c>
      <c r="AI711" t="s">
        <v>2835</v>
      </c>
    </row>
    <row r="712" spans="1:35">
      <c r="A712" t="s">
        <v>2211</v>
      </c>
      <c r="B712">
        <v>45485</v>
      </c>
      <c r="C712">
        <v>45492</v>
      </c>
      <c r="D712" t="s">
        <v>2212</v>
      </c>
      <c r="E712" t="s">
        <v>71</v>
      </c>
      <c r="F712" t="s">
        <v>90</v>
      </c>
      <c r="G712" t="s">
        <v>25</v>
      </c>
      <c r="H712" t="s">
        <v>122</v>
      </c>
      <c r="I712" t="s">
        <v>123</v>
      </c>
      <c r="J712" t="s">
        <v>28</v>
      </c>
      <c r="K712" t="s">
        <v>48</v>
      </c>
      <c r="L712" t="s">
        <v>2213</v>
      </c>
      <c r="M712" t="s">
        <v>31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32</v>
      </c>
      <c r="U712" t="s">
        <v>33</v>
      </c>
      <c r="V712" t="s">
        <v>2834</v>
      </c>
      <c r="W712" t="s">
        <v>2834</v>
      </c>
      <c r="X712" t="s">
        <v>2834</v>
      </c>
      <c r="Y712" t="s">
        <v>2834</v>
      </c>
      <c r="Z712">
        <v>7</v>
      </c>
      <c r="AA712" t="s">
        <v>2789</v>
      </c>
      <c r="AB712">
        <v>0.05</v>
      </c>
      <c r="AC712" t="s">
        <v>2794</v>
      </c>
      <c r="AD712">
        <v>7406.01</v>
      </c>
      <c r="AE712">
        <v>1464.2700000000004</v>
      </c>
      <c r="AF712">
        <v>0.19771374869869207</v>
      </c>
      <c r="AG712" t="s">
        <v>2826</v>
      </c>
      <c r="AH712">
        <v>2024</v>
      </c>
      <c r="AI712" t="s">
        <v>2835</v>
      </c>
    </row>
    <row r="713" spans="1:35">
      <c r="A713" t="s">
        <v>2214</v>
      </c>
      <c r="B713">
        <v>45690</v>
      </c>
      <c r="C713">
        <v>45690</v>
      </c>
      <c r="D713" t="s">
        <v>2215</v>
      </c>
      <c r="E713" t="s">
        <v>264</v>
      </c>
      <c r="F713" t="s">
        <v>90</v>
      </c>
      <c r="G713" t="s">
        <v>38</v>
      </c>
      <c r="H713" t="s">
        <v>99</v>
      </c>
      <c r="I713" t="s">
        <v>100</v>
      </c>
      <c r="J713" t="s">
        <v>74</v>
      </c>
      <c r="K713" t="s">
        <v>274</v>
      </c>
      <c r="L713" t="s">
        <v>2216</v>
      </c>
      <c r="M713" t="s">
        <v>50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111</v>
      </c>
      <c r="U713" t="s">
        <v>103</v>
      </c>
      <c r="V713" t="s">
        <v>2834</v>
      </c>
      <c r="W713" t="s">
        <v>2834</v>
      </c>
      <c r="X713" t="s">
        <v>2834</v>
      </c>
      <c r="Y713" t="s">
        <v>2834</v>
      </c>
      <c r="Z713">
        <v>0</v>
      </c>
      <c r="AA713" t="s">
        <v>2789</v>
      </c>
      <c r="AB713">
        <v>0.05</v>
      </c>
      <c r="AC713" t="s">
        <v>2794</v>
      </c>
      <c r="AD713">
        <v>4110.4124999999995</v>
      </c>
      <c r="AE713">
        <v>1716.2724999999996</v>
      </c>
      <c r="AF713">
        <v>0.41754264322619683</v>
      </c>
      <c r="AG713" t="s">
        <v>2821</v>
      </c>
      <c r="AH713">
        <v>2025</v>
      </c>
      <c r="AI713" t="s">
        <v>2835</v>
      </c>
    </row>
    <row r="714" spans="1:35">
      <c r="A714" t="s">
        <v>2217</v>
      </c>
      <c r="B714">
        <v>45332</v>
      </c>
      <c r="C714">
        <v>45340</v>
      </c>
      <c r="D714" t="s">
        <v>2218</v>
      </c>
      <c r="E714" t="s">
        <v>47</v>
      </c>
      <c r="F714" t="s">
        <v>95</v>
      </c>
      <c r="G714" t="s">
        <v>63</v>
      </c>
      <c r="H714" t="s">
        <v>72</v>
      </c>
      <c r="I714" t="s">
        <v>73</v>
      </c>
      <c r="J714" t="s">
        <v>41</v>
      </c>
      <c r="K714" t="s">
        <v>66</v>
      </c>
      <c r="L714" t="s">
        <v>2219</v>
      </c>
      <c r="M714" t="s">
        <v>50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32</v>
      </c>
      <c r="U714" t="s">
        <v>33</v>
      </c>
      <c r="V714" t="s">
        <v>2834</v>
      </c>
      <c r="W714" t="s">
        <v>2834</v>
      </c>
      <c r="X714" t="s">
        <v>2834</v>
      </c>
      <c r="Y714" t="s">
        <v>2834</v>
      </c>
      <c r="Z714">
        <v>8</v>
      </c>
      <c r="AA714" t="s">
        <v>2789</v>
      </c>
      <c r="AB714">
        <v>0</v>
      </c>
      <c r="AC714" t="s">
        <v>2794</v>
      </c>
      <c r="AD714">
        <v>9680.0199999999986</v>
      </c>
      <c r="AE714">
        <v>2803.3599999999988</v>
      </c>
      <c r="AF714">
        <v>0.28960270743242256</v>
      </c>
      <c r="AG714" t="s">
        <v>2821</v>
      </c>
      <c r="AH714">
        <v>2024</v>
      </c>
      <c r="AI714" t="s">
        <v>2835</v>
      </c>
    </row>
    <row r="715" spans="1:35">
      <c r="A715" t="s">
        <v>2220</v>
      </c>
      <c r="B715">
        <v>45814</v>
      </c>
      <c r="C715">
        <v>45818</v>
      </c>
      <c r="D715" t="s">
        <v>599</v>
      </c>
      <c r="E715" t="s">
        <v>36</v>
      </c>
      <c r="F715" t="s">
        <v>24</v>
      </c>
      <c r="G715" t="s">
        <v>63</v>
      </c>
      <c r="H715" t="s">
        <v>26</v>
      </c>
      <c r="I715" t="s">
        <v>109</v>
      </c>
      <c r="J715" t="s">
        <v>74</v>
      </c>
      <c r="K715" t="s">
        <v>274</v>
      </c>
      <c r="L715" t="s">
        <v>2221</v>
      </c>
      <c r="M715" t="s">
        <v>31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32</v>
      </c>
      <c r="U715" t="s">
        <v>33</v>
      </c>
      <c r="V715" t="s">
        <v>2834</v>
      </c>
      <c r="W715" t="s">
        <v>2834</v>
      </c>
      <c r="X715" t="s">
        <v>2834</v>
      </c>
      <c r="Y715" t="s">
        <v>2834</v>
      </c>
      <c r="Z715">
        <v>4</v>
      </c>
      <c r="AA715" t="s">
        <v>2789</v>
      </c>
      <c r="AB715">
        <v>0.25</v>
      </c>
      <c r="AC715" t="s">
        <v>2794</v>
      </c>
      <c r="AD715">
        <v>217.47750000000002</v>
      </c>
      <c r="AE715">
        <v>85.347500000000025</v>
      </c>
      <c r="AF715">
        <v>0.39244289639158081</v>
      </c>
      <c r="AG715" t="s">
        <v>2825</v>
      </c>
      <c r="AH715">
        <v>2025</v>
      </c>
      <c r="AI715" t="s">
        <v>2835</v>
      </c>
    </row>
    <row r="716" spans="1:35">
      <c r="A716" t="s">
        <v>2222</v>
      </c>
      <c r="B716">
        <v>45738</v>
      </c>
      <c r="C716">
        <v>45739</v>
      </c>
      <c r="D716" t="s">
        <v>2223</v>
      </c>
      <c r="E716" t="s">
        <v>23</v>
      </c>
      <c r="F716" t="s">
        <v>95</v>
      </c>
      <c r="G716" t="s">
        <v>25</v>
      </c>
      <c r="H716" t="s">
        <v>350</v>
      </c>
      <c r="I716" t="s">
        <v>351</v>
      </c>
      <c r="J716" t="s">
        <v>74</v>
      </c>
      <c r="K716" t="s">
        <v>80</v>
      </c>
      <c r="L716" t="s">
        <v>2224</v>
      </c>
      <c r="M716" t="s">
        <v>59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32</v>
      </c>
      <c r="U716" t="s">
        <v>33</v>
      </c>
      <c r="V716" t="s">
        <v>2834</v>
      </c>
      <c r="W716" t="s">
        <v>2834</v>
      </c>
      <c r="X716" t="s">
        <v>2834</v>
      </c>
      <c r="Y716" t="s">
        <v>2834</v>
      </c>
      <c r="Z716">
        <v>1</v>
      </c>
      <c r="AA716" t="s">
        <v>2789</v>
      </c>
      <c r="AB716">
        <v>0</v>
      </c>
      <c r="AC716" t="s">
        <v>2794</v>
      </c>
      <c r="AD716">
        <v>18675.18</v>
      </c>
      <c r="AE716">
        <v>4700.4799999999996</v>
      </c>
      <c r="AF716">
        <v>0.25169663692665878</v>
      </c>
      <c r="AG716" t="s">
        <v>2822</v>
      </c>
      <c r="AH716">
        <v>2025</v>
      </c>
      <c r="AI716" t="s">
        <v>2835</v>
      </c>
    </row>
    <row r="717" spans="1:35">
      <c r="A717" t="s">
        <v>2225</v>
      </c>
      <c r="B717">
        <v>45891</v>
      </c>
      <c r="C717">
        <v>45896</v>
      </c>
      <c r="D717" t="s">
        <v>2226</v>
      </c>
      <c r="E717" t="s">
        <v>114</v>
      </c>
      <c r="F717" t="s">
        <v>24</v>
      </c>
      <c r="G717" t="s">
        <v>25</v>
      </c>
      <c r="H717" t="s">
        <v>236</v>
      </c>
      <c r="I717" t="s">
        <v>237</v>
      </c>
      <c r="J717" t="s">
        <v>41</v>
      </c>
      <c r="K717" t="s">
        <v>66</v>
      </c>
      <c r="L717" t="s">
        <v>2227</v>
      </c>
      <c r="M717" t="s">
        <v>31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102</v>
      </c>
      <c r="U717" t="s">
        <v>68</v>
      </c>
      <c r="V717" t="s">
        <v>2834</v>
      </c>
      <c r="W717" t="s">
        <v>2834</v>
      </c>
      <c r="X717" t="s">
        <v>2834</v>
      </c>
      <c r="Y717" t="s">
        <v>2834</v>
      </c>
      <c r="Z717">
        <v>5</v>
      </c>
      <c r="AA717" t="s">
        <v>2789</v>
      </c>
      <c r="AB717">
        <v>0</v>
      </c>
      <c r="AC717" t="s">
        <v>2794</v>
      </c>
      <c r="AD717">
        <v>19901.63</v>
      </c>
      <c r="AE717">
        <v>4409.6000000000004</v>
      </c>
      <c r="AF717">
        <v>0.22156979101711771</v>
      </c>
      <c r="AG717" t="s">
        <v>2827</v>
      </c>
      <c r="AH717">
        <v>2025</v>
      </c>
      <c r="AI717" t="s">
        <v>2835</v>
      </c>
    </row>
    <row r="718" spans="1:35">
      <c r="A718" t="s">
        <v>2228</v>
      </c>
      <c r="B718">
        <v>45895</v>
      </c>
      <c r="C718">
        <v>45900</v>
      </c>
      <c r="D718" t="s">
        <v>2229</v>
      </c>
      <c r="E718" t="s">
        <v>162</v>
      </c>
      <c r="F718" t="s">
        <v>37</v>
      </c>
      <c r="G718" t="s">
        <v>25</v>
      </c>
      <c r="H718" t="s">
        <v>236</v>
      </c>
      <c r="I718" t="s">
        <v>237</v>
      </c>
      <c r="J718" t="s">
        <v>74</v>
      </c>
      <c r="K718" t="s">
        <v>171</v>
      </c>
      <c r="L718" t="s">
        <v>2230</v>
      </c>
      <c r="M718" t="s">
        <v>50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32</v>
      </c>
      <c r="U718" t="s">
        <v>33</v>
      </c>
      <c r="V718" t="s">
        <v>2834</v>
      </c>
      <c r="W718" t="s">
        <v>2834</v>
      </c>
      <c r="X718" t="s">
        <v>2834</v>
      </c>
      <c r="Y718" t="s">
        <v>2834</v>
      </c>
      <c r="Z718">
        <v>5</v>
      </c>
      <c r="AA718" t="s">
        <v>2789</v>
      </c>
      <c r="AB718">
        <v>0.15</v>
      </c>
      <c r="AC718" t="s">
        <v>2794</v>
      </c>
      <c r="AD718">
        <v>2879.817</v>
      </c>
      <c r="AE718">
        <v>1054.9369999999999</v>
      </c>
      <c r="AF718">
        <v>0.3663208460815392</v>
      </c>
      <c r="AG718" t="s">
        <v>2827</v>
      </c>
      <c r="AH718">
        <v>2025</v>
      </c>
      <c r="AI718" t="s">
        <v>2835</v>
      </c>
    </row>
    <row r="719" spans="1:35">
      <c r="A719" t="s">
        <v>2231</v>
      </c>
      <c r="B719">
        <v>45942</v>
      </c>
      <c r="C719">
        <v>45945</v>
      </c>
      <c r="D719" t="s">
        <v>2232</v>
      </c>
      <c r="E719" t="s">
        <v>264</v>
      </c>
      <c r="F719" t="s">
        <v>37</v>
      </c>
      <c r="G719" t="s">
        <v>25</v>
      </c>
      <c r="H719" t="s">
        <v>236</v>
      </c>
      <c r="I719" t="s">
        <v>237</v>
      </c>
      <c r="J719" t="s">
        <v>74</v>
      </c>
      <c r="K719" t="s">
        <v>274</v>
      </c>
      <c r="L719" t="s">
        <v>2233</v>
      </c>
      <c r="M719" t="s">
        <v>59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111</v>
      </c>
      <c r="U719" t="s">
        <v>68</v>
      </c>
      <c r="V719" t="s">
        <v>2834</v>
      </c>
      <c r="W719" t="s">
        <v>2834</v>
      </c>
      <c r="X719" t="s">
        <v>2834</v>
      </c>
      <c r="Y719" t="s">
        <v>2834</v>
      </c>
      <c r="Z719">
        <v>3</v>
      </c>
      <c r="AA719" t="s">
        <v>2789</v>
      </c>
      <c r="AB719">
        <v>0.2</v>
      </c>
      <c r="AC719" t="s">
        <v>2794</v>
      </c>
      <c r="AD719">
        <v>18712.223999999998</v>
      </c>
      <c r="AE719">
        <v>6860.003999999999</v>
      </c>
      <c r="AF719">
        <v>0.3666054874075898</v>
      </c>
      <c r="AG719" t="s">
        <v>2829</v>
      </c>
      <c r="AH719">
        <v>2025</v>
      </c>
      <c r="AI719" t="s">
        <v>2835</v>
      </c>
    </row>
    <row r="720" spans="1:35">
      <c r="A720" t="s">
        <v>2234</v>
      </c>
      <c r="B720">
        <v>45541</v>
      </c>
      <c r="C720">
        <v>45544</v>
      </c>
      <c r="D720" t="s">
        <v>2235</v>
      </c>
      <c r="E720" t="s">
        <v>36</v>
      </c>
      <c r="F720" t="s">
        <v>24</v>
      </c>
      <c r="G720" t="s">
        <v>63</v>
      </c>
      <c r="H720" t="s">
        <v>64</v>
      </c>
      <c r="I720" t="s">
        <v>65</v>
      </c>
      <c r="J720" t="s">
        <v>28</v>
      </c>
      <c r="K720" t="s">
        <v>48</v>
      </c>
      <c r="L720" t="s">
        <v>2236</v>
      </c>
      <c r="M720" t="s">
        <v>44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32</v>
      </c>
      <c r="U720" t="s">
        <v>33</v>
      </c>
      <c r="V720" t="s">
        <v>2834</v>
      </c>
      <c r="W720" t="s">
        <v>2834</v>
      </c>
      <c r="X720" t="s">
        <v>2834</v>
      </c>
      <c r="Y720" t="s">
        <v>2834</v>
      </c>
      <c r="Z720">
        <v>3</v>
      </c>
      <c r="AA720" t="s">
        <v>2789</v>
      </c>
      <c r="AB720">
        <v>0.2</v>
      </c>
      <c r="AC720" t="s">
        <v>2794</v>
      </c>
      <c r="AD720">
        <v>4733.4479999999994</v>
      </c>
      <c r="AE720">
        <v>1061.1279999999992</v>
      </c>
      <c r="AF720">
        <v>0.22417654107534282</v>
      </c>
      <c r="AG720" t="s">
        <v>2828</v>
      </c>
      <c r="AH720">
        <v>2024</v>
      </c>
      <c r="AI720" t="s">
        <v>2835</v>
      </c>
    </row>
    <row r="721" spans="1:35">
      <c r="A721" t="s">
        <v>2237</v>
      </c>
      <c r="B721">
        <v>45908</v>
      </c>
      <c r="C721">
        <v>45909</v>
      </c>
      <c r="D721" t="s">
        <v>144</v>
      </c>
      <c r="E721" t="s">
        <v>264</v>
      </c>
      <c r="F721" t="s">
        <v>90</v>
      </c>
      <c r="G721" t="s">
        <v>63</v>
      </c>
      <c r="H721" t="s">
        <v>180</v>
      </c>
      <c r="I721" t="s">
        <v>181</v>
      </c>
      <c r="J721" t="s">
        <v>28</v>
      </c>
      <c r="K721" t="s">
        <v>48</v>
      </c>
      <c r="L721" t="s">
        <v>2238</v>
      </c>
      <c r="M721" t="s">
        <v>44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32</v>
      </c>
      <c r="U721" t="s">
        <v>33</v>
      </c>
      <c r="V721" t="s">
        <v>2834</v>
      </c>
      <c r="W721" t="s">
        <v>2834</v>
      </c>
      <c r="X721" t="s">
        <v>2834</v>
      </c>
      <c r="Y721" t="s">
        <v>2834</v>
      </c>
      <c r="Z721">
        <v>1</v>
      </c>
      <c r="AA721" t="s">
        <v>2789</v>
      </c>
      <c r="AB721">
        <v>0.2</v>
      </c>
      <c r="AC721" t="s">
        <v>2794</v>
      </c>
      <c r="AD721">
        <v>3795.8559999999998</v>
      </c>
      <c r="AE721">
        <v>1530.9359999999997</v>
      </c>
      <c r="AF721">
        <v>0.40331772332775528</v>
      </c>
      <c r="AG721" t="s">
        <v>2828</v>
      </c>
      <c r="AH721">
        <v>2025</v>
      </c>
      <c r="AI721" t="s">
        <v>2835</v>
      </c>
    </row>
    <row r="722" spans="1:35">
      <c r="A722" t="s">
        <v>2239</v>
      </c>
      <c r="B722">
        <v>45489</v>
      </c>
      <c r="C722">
        <v>45489</v>
      </c>
      <c r="D722" t="s">
        <v>2240</v>
      </c>
      <c r="E722" t="s">
        <v>89</v>
      </c>
      <c r="F722" t="s">
        <v>95</v>
      </c>
      <c r="G722" t="s">
        <v>63</v>
      </c>
      <c r="H722" t="s">
        <v>72</v>
      </c>
      <c r="I722" t="s">
        <v>73</v>
      </c>
      <c r="J722" t="s">
        <v>74</v>
      </c>
      <c r="K722" t="s">
        <v>80</v>
      </c>
      <c r="L722" t="s">
        <v>2241</v>
      </c>
      <c r="M722" t="s">
        <v>44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32</v>
      </c>
      <c r="U722" t="s">
        <v>33</v>
      </c>
      <c r="V722" t="s">
        <v>2834</v>
      </c>
      <c r="W722" t="s">
        <v>2834</v>
      </c>
      <c r="X722" t="s">
        <v>2834</v>
      </c>
      <c r="Y722" t="s">
        <v>2834</v>
      </c>
      <c r="Z722">
        <v>0</v>
      </c>
      <c r="AA722" t="s">
        <v>2789</v>
      </c>
      <c r="AB722">
        <v>0.15</v>
      </c>
      <c r="AC722" t="s">
        <v>2794</v>
      </c>
      <c r="AD722">
        <v>15231.727999999999</v>
      </c>
      <c r="AE722">
        <v>2780.268</v>
      </c>
      <c r="AF722">
        <v>0.1825313582280356</v>
      </c>
      <c r="AG722" t="s">
        <v>2826</v>
      </c>
      <c r="AH722">
        <v>2024</v>
      </c>
      <c r="AI722" t="s">
        <v>2835</v>
      </c>
    </row>
    <row r="723" spans="1:35">
      <c r="A723" t="s">
        <v>2242</v>
      </c>
      <c r="B723">
        <v>45827</v>
      </c>
      <c r="C723">
        <v>45831</v>
      </c>
      <c r="D723" t="s">
        <v>2243</v>
      </c>
      <c r="E723" t="s">
        <v>132</v>
      </c>
      <c r="F723" t="s">
        <v>24</v>
      </c>
      <c r="G723" t="s">
        <v>54</v>
      </c>
      <c r="H723" t="s">
        <v>175</v>
      </c>
      <c r="I723" t="s">
        <v>176</v>
      </c>
      <c r="J723" t="s">
        <v>74</v>
      </c>
      <c r="K723" t="s">
        <v>80</v>
      </c>
      <c r="L723" t="s">
        <v>2244</v>
      </c>
      <c r="M723" t="s">
        <v>50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32</v>
      </c>
      <c r="U723" t="s">
        <v>33</v>
      </c>
      <c r="V723" t="s">
        <v>2834</v>
      </c>
      <c r="W723" t="s">
        <v>2834</v>
      </c>
      <c r="X723" t="s">
        <v>2834</v>
      </c>
      <c r="Y723" t="s">
        <v>2834</v>
      </c>
      <c r="Z723">
        <v>4</v>
      </c>
      <c r="AA723" t="s">
        <v>2789</v>
      </c>
      <c r="AB723">
        <v>0</v>
      </c>
      <c r="AC723" t="s">
        <v>2794</v>
      </c>
      <c r="AD723">
        <v>13649.75</v>
      </c>
      <c r="AE723">
        <v>3361.7199999999993</v>
      </c>
      <c r="AF723">
        <v>0.24628436418249414</v>
      </c>
      <c r="AG723" t="s">
        <v>2825</v>
      </c>
      <c r="AH723">
        <v>2025</v>
      </c>
      <c r="AI723" t="s">
        <v>2835</v>
      </c>
    </row>
    <row r="724" spans="1:35">
      <c r="A724" t="s">
        <v>2245</v>
      </c>
      <c r="B724">
        <v>45572</v>
      </c>
      <c r="C724">
        <v>45575</v>
      </c>
      <c r="D724" t="s">
        <v>2246</v>
      </c>
      <c r="E724" t="s">
        <v>71</v>
      </c>
      <c r="F724" t="s">
        <v>24</v>
      </c>
      <c r="G724" t="s">
        <v>38</v>
      </c>
      <c r="H724" t="s">
        <v>99</v>
      </c>
      <c r="I724" t="s">
        <v>100</v>
      </c>
      <c r="J724" t="s">
        <v>41</v>
      </c>
      <c r="K724" t="s">
        <v>66</v>
      </c>
      <c r="L724" t="s">
        <v>2247</v>
      </c>
      <c r="M724" t="s">
        <v>31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102</v>
      </c>
      <c r="U724" t="s">
        <v>68</v>
      </c>
      <c r="V724" t="s">
        <v>2834</v>
      </c>
      <c r="W724" t="s">
        <v>2834</v>
      </c>
      <c r="X724" t="s">
        <v>2834</v>
      </c>
      <c r="Y724" t="s">
        <v>2834</v>
      </c>
      <c r="Z724">
        <v>3</v>
      </c>
      <c r="AA724" t="s">
        <v>2789</v>
      </c>
      <c r="AB724">
        <v>0</v>
      </c>
      <c r="AC724" t="s">
        <v>2796</v>
      </c>
      <c r="AD724">
        <v>4333.59</v>
      </c>
      <c r="AE724">
        <v>1800</v>
      </c>
      <c r="AF724">
        <v>0.41536001329152039</v>
      </c>
      <c r="AG724" t="s">
        <v>2829</v>
      </c>
      <c r="AH724">
        <v>2024</v>
      </c>
      <c r="AI724" t="s">
        <v>2838</v>
      </c>
    </row>
    <row r="725" spans="1:35">
      <c r="A725" t="s">
        <v>2248</v>
      </c>
      <c r="B725">
        <v>45936</v>
      </c>
      <c r="C725">
        <v>45943</v>
      </c>
      <c r="D725" t="s">
        <v>2249</v>
      </c>
      <c r="E725" t="s">
        <v>264</v>
      </c>
      <c r="F725" t="s">
        <v>95</v>
      </c>
      <c r="G725" t="s">
        <v>38</v>
      </c>
      <c r="H725" t="s">
        <v>228</v>
      </c>
      <c r="I725" t="s">
        <v>229</v>
      </c>
      <c r="J725" t="s">
        <v>74</v>
      </c>
      <c r="K725" t="s">
        <v>75</v>
      </c>
      <c r="L725" t="s">
        <v>2250</v>
      </c>
      <c r="M725" t="s">
        <v>59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155</v>
      </c>
      <c r="U725" t="s">
        <v>103</v>
      </c>
      <c r="V725" t="s">
        <v>2834</v>
      </c>
      <c r="W725" t="s">
        <v>2834</v>
      </c>
      <c r="X725" t="s">
        <v>2834</v>
      </c>
      <c r="Y725" t="s">
        <v>2834</v>
      </c>
      <c r="Z725">
        <v>7</v>
      </c>
      <c r="AA725" t="s">
        <v>2789</v>
      </c>
      <c r="AB725">
        <v>0.05</v>
      </c>
      <c r="AC725" t="s">
        <v>2794</v>
      </c>
      <c r="AD725">
        <v>13634.000999999998</v>
      </c>
      <c r="AE725">
        <v>4044.1909999999989</v>
      </c>
      <c r="AF725">
        <v>0.29662539998346776</v>
      </c>
      <c r="AG725" t="s">
        <v>2829</v>
      </c>
      <c r="AH725">
        <v>2025</v>
      </c>
      <c r="AI725" t="s">
        <v>2835</v>
      </c>
    </row>
    <row r="726" spans="1:35">
      <c r="A726" t="s">
        <v>2251</v>
      </c>
      <c r="B726">
        <v>45332</v>
      </c>
      <c r="C726">
        <v>45338</v>
      </c>
      <c r="D726" t="s">
        <v>2252</v>
      </c>
      <c r="E726" t="s">
        <v>23</v>
      </c>
      <c r="F726" t="s">
        <v>24</v>
      </c>
      <c r="G726" t="s">
        <v>63</v>
      </c>
      <c r="H726" t="s">
        <v>190</v>
      </c>
      <c r="I726" t="s">
        <v>191</v>
      </c>
      <c r="J726" t="s">
        <v>41</v>
      </c>
      <c r="K726" t="s">
        <v>57</v>
      </c>
      <c r="L726" t="s">
        <v>2253</v>
      </c>
      <c r="M726" t="s">
        <v>31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32</v>
      </c>
      <c r="U726" t="s">
        <v>33</v>
      </c>
      <c r="V726" t="s">
        <v>2834</v>
      </c>
      <c r="W726" t="s">
        <v>2834</v>
      </c>
      <c r="X726" t="s">
        <v>2834</v>
      </c>
      <c r="Y726" t="s">
        <v>2834</v>
      </c>
      <c r="Z726">
        <v>6</v>
      </c>
      <c r="AA726" t="s">
        <v>2789</v>
      </c>
      <c r="AB726">
        <v>0</v>
      </c>
      <c r="AC726" t="s">
        <v>2794</v>
      </c>
      <c r="AD726">
        <v>760.29</v>
      </c>
      <c r="AE726">
        <v>262.52</v>
      </c>
      <c r="AF726">
        <v>0.34528929750489945</v>
      </c>
      <c r="AG726" t="s">
        <v>2821</v>
      </c>
      <c r="AH726">
        <v>2024</v>
      </c>
      <c r="AI726" t="s">
        <v>2835</v>
      </c>
    </row>
    <row r="727" spans="1:35">
      <c r="A727" t="s">
        <v>2254</v>
      </c>
      <c r="B727">
        <v>45935</v>
      </c>
      <c r="C727">
        <v>45942</v>
      </c>
      <c r="D727" t="s">
        <v>2255</v>
      </c>
      <c r="E727" t="s">
        <v>114</v>
      </c>
      <c r="F727" t="s">
        <v>90</v>
      </c>
      <c r="G727" t="s">
        <v>54</v>
      </c>
      <c r="H727" t="s">
        <v>175</v>
      </c>
      <c r="I727" t="s">
        <v>176</v>
      </c>
      <c r="J727" t="s">
        <v>41</v>
      </c>
      <c r="K727" t="s">
        <v>42</v>
      </c>
      <c r="L727" t="s">
        <v>2256</v>
      </c>
      <c r="M727" t="s">
        <v>31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32</v>
      </c>
      <c r="U727" t="s">
        <v>33</v>
      </c>
      <c r="V727" t="s">
        <v>2834</v>
      </c>
      <c r="W727" t="s">
        <v>2834</v>
      </c>
      <c r="X727" t="s">
        <v>2834</v>
      </c>
      <c r="Y727" t="s">
        <v>2834</v>
      </c>
      <c r="Z727">
        <v>7</v>
      </c>
      <c r="AA727" t="s">
        <v>2789</v>
      </c>
      <c r="AB727">
        <v>0</v>
      </c>
      <c r="AC727" t="s">
        <v>2794</v>
      </c>
      <c r="AD727">
        <v>14943.11</v>
      </c>
      <c r="AE727">
        <v>6421.6100000000006</v>
      </c>
      <c r="AF727">
        <v>0.42973718322357263</v>
      </c>
      <c r="AG727" t="s">
        <v>2829</v>
      </c>
      <c r="AH727">
        <v>2025</v>
      </c>
      <c r="AI727" t="s">
        <v>2835</v>
      </c>
    </row>
    <row r="728" spans="1:35">
      <c r="A728" t="s">
        <v>2257</v>
      </c>
      <c r="B728">
        <v>45308</v>
      </c>
      <c r="C728">
        <v>45314</v>
      </c>
      <c r="D728" t="s">
        <v>2258</v>
      </c>
      <c r="E728" t="s">
        <v>264</v>
      </c>
      <c r="F728" t="s">
        <v>95</v>
      </c>
      <c r="G728" t="s">
        <v>63</v>
      </c>
      <c r="H728" t="s">
        <v>180</v>
      </c>
      <c r="I728" t="s">
        <v>181</v>
      </c>
      <c r="J728" t="s">
        <v>74</v>
      </c>
      <c r="K728" t="s">
        <v>171</v>
      </c>
      <c r="L728" t="s">
        <v>2259</v>
      </c>
      <c r="M728" t="s">
        <v>59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111</v>
      </c>
      <c r="U728" t="s">
        <v>103</v>
      </c>
      <c r="V728" t="s">
        <v>2834</v>
      </c>
      <c r="W728" t="s">
        <v>2834</v>
      </c>
      <c r="X728" t="s">
        <v>2834</v>
      </c>
      <c r="Y728" t="s">
        <v>2834</v>
      </c>
      <c r="Z728">
        <v>6</v>
      </c>
      <c r="AA728" t="s">
        <v>2789</v>
      </c>
      <c r="AB728">
        <v>0.2</v>
      </c>
      <c r="AC728" t="s">
        <v>2794</v>
      </c>
      <c r="AD728">
        <v>8072</v>
      </c>
      <c r="AE728">
        <v>2692.7799999999997</v>
      </c>
      <c r="AF728">
        <v>0.33359514370664023</v>
      </c>
      <c r="AG728" t="s">
        <v>2820</v>
      </c>
      <c r="AH728">
        <v>2024</v>
      </c>
      <c r="AI728" t="s">
        <v>2835</v>
      </c>
    </row>
    <row r="729" spans="1:35">
      <c r="A729" t="s">
        <v>2260</v>
      </c>
      <c r="B729">
        <v>45578</v>
      </c>
      <c r="C729">
        <v>45578</v>
      </c>
      <c r="D729" t="s">
        <v>2261</v>
      </c>
      <c r="E729" t="s">
        <v>128</v>
      </c>
      <c r="F729" t="s">
        <v>37</v>
      </c>
      <c r="G729" t="s">
        <v>38</v>
      </c>
      <c r="H729" t="s">
        <v>166</v>
      </c>
      <c r="I729" t="s">
        <v>167</v>
      </c>
      <c r="J729" t="s">
        <v>74</v>
      </c>
      <c r="K729" t="s">
        <v>75</v>
      </c>
      <c r="L729" t="s">
        <v>2262</v>
      </c>
      <c r="M729" t="s">
        <v>31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32</v>
      </c>
      <c r="U729" t="s">
        <v>33</v>
      </c>
      <c r="V729" t="s">
        <v>2834</v>
      </c>
      <c r="W729" t="s">
        <v>2834</v>
      </c>
      <c r="X729" t="s">
        <v>2834</v>
      </c>
      <c r="Y729" t="s">
        <v>2834</v>
      </c>
      <c r="Z729">
        <v>0</v>
      </c>
      <c r="AA729" t="s">
        <v>2789</v>
      </c>
      <c r="AB729">
        <v>0.05</v>
      </c>
      <c r="AC729" t="s">
        <v>2794</v>
      </c>
      <c r="AD729">
        <v>28353.015999999996</v>
      </c>
      <c r="AE729">
        <v>9095.1659999999974</v>
      </c>
      <c r="AF729">
        <v>0.3207830165228277</v>
      </c>
      <c r="AG729" t="s">
        <v>2829</v>
      </c>
      <c r="AH729">
        <v>2024</v>
      </c>
      <c r="AI729" t="s">
        <v>2835</v>
      </c>
    </row>
    <row r="730" spans="1:35">
      <c r="A730" t="s">
        <v>2263</v>
      </c>
      <c r="B730">
        <v>45295</v>
      </c>
      <c r="C730">
        <v>45298</v>
      </c>
      <c r="D730" t="s">
        <v>2264</v>
      </c>
      <c r="E730" t="s">
        <v>132</v>
      </c>
      <c r="F730" t="s">
        <v>37</v>
      </c>
      <c r="G730" t="s">
        <v>54</v>
      </c>
      <c r="H730" t="s">
        <v>175</v>
      </c>
      <c r="I730" t="s">
        <v>176</v>
      </c>
      <c r="J730" t="s">
        <v>74</v>
      </c>
      <c r="K730" t="s">
        <v>274</v>
      </c>
      <c r="L730" t="s">
        <v>2265</v>
      </c>
      <c r="M730" t="s">
        <v>50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32</v>
      </c>
      <c r="U730" t="s">
        <v>33</v>
      </c>
      <c r="V730" t="s">
        <v>2834</v>
      </c>
      <c r="W730" t="s">
        <v>2834</v>
      </c>
      <c r="X730" t="s">
        <v>2834</v>
      </c>
      <c r="Y730" t="s">
        <v>2834</v>
      </c>
      <c r="Z730">
        <v>3</v>
      </c>
      <c r="AA730" t="s">
        <v>2789</v>
      </c>
      <c r="AB730">
        <v>0.15</v>
      </c>
      <c r="AC730" t="s">
        <v>2794</v>
      </c>
      <c r="AD730">
        <v>2008.567</v>
      </c>
      <c r="AE730">
        <v>813.73700000000008</v>
      </c>
      <c r="AF730">
        <v>0.40513311231340554</v>
      </c>
      <c r="AG730" t="s">
        <v>2820</v>
      </c>
      <c r="AH730">
        <v>2024</v>
      </c>
      <c r="AI730" t="s">
        <v>2835</v>
      </c>
    </row>
    <row r="731" spans="1:35">
      <c r="A731" t="s">
        <v>2266</v>
      </c>
      <c r="B731">
        <v>45794</v>
      </c>
      <c r="C731">
        <v>45802</v>
      </c>
      <c r="D731" t="s">
        <v>2267</v>
      </c>
      <c r="E731" t="s">
        <v>62</v>
      </c>
      <c r="F731" t="s">
        <v>90</v>
      </c>
      <c r="G731" t="s">
        <v>54</v>
      </c>
      <c r="H731" t="s">
        <v>247</v>
      </c>
      <c r="I731" t="s">
        <v>248</v>
      </c>
      <c r="J731" t="s">
        <v>74</v>
      </c>
      <c r="K731" t="s">
        <v>274</v>
      </c>
      <c r="L731" t="s">
        <v>2268</v>
      </c>
      <c r="M731" t="s">
        <v>44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32</v>
      </c>
      <c r="U731" t="s">
        <v>33</v>
      </c>
      <c r="V731" t="s">
        <v>2834</v>
      </c>
      <c r="W731" t="s">
        <v>2834</v>
      </c>
      <c r="X731" t="s">
        <v>2834</v>
      </c>
      <c r="Y731" t="s">
        <v>2834</v>
      </c>
      <c r="Z731">
        <v>8</v>
      </c>
      <c r="AA731" t="s">
        <v>2789</v>
      </c>
      <c r="AB731">
        <v>0.15</v>
      </c>
      <c r="AC731" t="s">
        <v>2794</v>
      </c>
      <c r="AD731">
        <v>9234.2129999999997</v>
      </c>
      <c r="AE731">
        <v>3717.6929999999993</v>
      </c>
      <c r="AF731">
        <v>0.40259987505161504</v>
      </c>
      <c r="AG731" t="s">
        <v>2824</v>
      </c>
      <c r="AH731">
        <v>2025</v>
      </c>
      <c r="AI731" t="s">
        <v>2835</v>
      </c>
    </row>
    <row r="732" spans="1:35">
      <c r="A732" t="s">
        <v>2269</v>
      </c>
      <c r="B732">
        <v>45827</v>
      </c>
      <c r="C732">
        <v>45832</v>
      </c>
      <c r="D732" t="s">
        <v>2270</v>
      </c>
      <c r="E732" t="s">
        <v>53</v>
      </c>
      <c r="F732" t="s">
        <v>24</v>
      </c>
      <c r="G732" t="s">
        <v>38</v>
      </c>
      <c r="H732" t="s">
        <v>99</v>
      </c>
      <c r="I732" t="s">
        <v>100</v>
      </c>
      <c r="J732" t="s">
        <v>28</v>
      </c>
      <c r="K732" t="s">
        <v>48</v>
      </c>
      <c r="L732" t="s">
        <v>2271</v>
      </c>
      <c r="M732" t="s">
        <v>31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102</v>
      </c>
      <c r="U732" t="s">
        <v>103</v>
      </c>
      <c r="V732" t="s">
        <v>2834</v>
      </c>
      <c r="W732" t="s">
        <v>2834</v>
      </c>
      <c r="X732" t="s">
        <v>2834</v>
      </c>
      <c r="Y732" t="s">
        <v>2834</v>
      </c>
      <c r="Z732">
        <v>5</v>
      </c>
      <c r="AA732" t="s">
        <v>2789</v>
      </c>
      <c r="AB732">
        <v>0.15</v>
      </c>
      <c r="AC732" t="s">
        <v>2794</v>
      </c>
      <c r="AD732">
        <v>2658.8339999999998</v>
      </c>
      <c r="AE732">
        <v>431.86400000000003</v>
      </c>
      <c r="AF732">
        <v>0.16242608602116568</v>
      </c>
      <c r="AG732" t="s">
        <v>2825</v>
      </c>
      <c r="AH732">
        <v>2025</v>
      </c>
      <c r="AI732" t="s">
        <v>2835</v>
      </c>
    </row>
    <row r="733" spans="1:35">
      <c r="A733" t="s">
        <v>2272</v>
      </c>
      <c r="B733">
        <v>45368</v>
      </c>
      <c r="C733">
        <v>45370</v>
      </c>
      <c r="D733" t="s">
        <v>2273</v>
      </c>
      <c r="E733" t="s">
        <v>62</v>
      </c>
      <c r="F733" t="s">
        <v>90</v>
      </c>
      <c r="G733" t="s">
        <v>38</v>
      </c>
      <c r="H733" t="s">
        <v>39</v>
      </c>
      <c r="I733" t="s">
        <v>40</v>
      </c>
      <c r="J733" t="s">
        <v>28</v>
      </c>
      <c r="K733" t="s">
        <v>153</v>
      </c>
      <c r="L733" t="s">
        <v>2274</v>
      </c>
      <c r="M733" t="s">
        <v>50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32</v>
      </c>
      <c r="U733" t="s">
        <v>33</v>
      </c>
      <c r="V733" t="s">
        <v>2834</v>
      </c>
      <c r="W733" t="s">
        <v>2834</v>
      </c>
      <c r="X733" t="s">
        <v>2834</v>
      </c>
      <c r="Y733" t="s">
        <v>2834</v>
      </c>
      <c r="Z733">
        <v>2</v>
      </c>
      <c r="AA733" t="s">
        <v>2789</v>
      </c>
      <c r="AB733">
        <v>0.1</v>
      </c>
      <c r="AC733" t="s">
        <v>2794</v>
      </c>
      <c r="AD733">
        <v>15756.048000000001</v>
      </c>
      <c r="AE733">
        <v>5510.6080000000002</v>
      </c>
      <c r="AF733">
        <v>0.3497455707167178</v>
      </c>
      <c r="AG733" t="s">
        <v>2822</v>
      </c>
      <c r="AH733">
        <v>2024</v>
      </c>
      <c r="AI733" t="s">
        <v>2835</v>
      </c>
    </row>
    <row r="734" spans="1:35">
      <c r="A734" t="s">
        <v>2275</v>
      </c>
      <c r="B734">
        <v>45624</v>
      </c>
      <c r="C734">
        <v>45632</v>
      </c>
      <c r="D734" t="s">
        <v>2276</v>
      </c>
      <c r="E734" t="s">
        <v>53</v>
      </c>
      <c r="F734" t="s">
        <v>37</v>
      </c>
      <c r="G734" t="s">
        <v>25</v>
      </c>
      <c r="H734" t="s">
        <v>122</v>
      </c>
      <c r="I734" t="s">
        <v>123</v>
      </c>
      <c r="J734" t="s">
        <v>74</v>
      </c>
      <c r="K734" t="s">
        <v>171</v>
      </c>
      <c r="L734" t="s">
        <v>2277</v>
      </c>
      <c r="M734" t="s">
        <v>59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32</v>
      </c>
      <c r="U734" t="s">
        <v>33</v>
      </c>
      <c r="V734" t="s">
        <v>2834</v>
      </c>
      <c r="W734" t="s">
        <v>2834</v>
      </c>
      <c r="X734" t="s">
        <v>2834</v>
      </c>
      <c r="Y734" t="s">
        <v>2834</v>
      </c>
      <c r="Z734">
        <v>8</v>
      </c>
      <c r="AA734" t="s">
        <v>2789</v>
      </c>
      <c r="AB734">
        <v>0</v>
      </c>
      <c r="AC734" t="s">
        <v>2794</v>
      </c>
      <c r="AD734">
        <v>14787.78</v>
      </c>
      <c r="AE734">
        <v>6191.130000000001</v>
      </c>
      <c r="AF734">
        <v>0.41866527632950995</v>
      </c>
      <c r="AG734" t="s">
        <v>2830</v>
      </c>
      <c r="AH734">
        <v>2024</v>
      </c>
      <c r="AI734" t="s">
        <v>2835</v>
      </c>
    </row>
    <row r="735" spans="1:35">
      <c r="A735" t="s">
        <v>2278</v>
      </c>
      <c r="B735">
        <v>45464</v>
      </c>
      <c r="C735">
        <v>45471</v>
      </c>
      <c r="D735" t="s">
        <v>2279</v>
      </c>
      <c r="E735" t="s">
        <v>128</v>
      </c>
      <c r="F735" t="s">
        <v>95</v>
      </c>
      <c r="G735" t="s">
        <v>25</v>
      </c>
      <c r="H735" t="s">
        <v>26</v>
      </c>
      <c r="I735" t="s">
        <v>27</v>
      </c>
      <c r="J735" t="s">
        <v>41</v>
      </c>
      <c r="K735" t="s">
        <v>57</v>
      </c>
      <c r="L735" t="s">
        <v>2280</v>
      </c>
      <c r="M735" t="s">
        <v>50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32</v>
      </c>
      <c r="U735" t="s">
        <v>33</v>
      </c>
      <c r="V735" t="s">
        <v>2834</v>
      </c>
      <c r="W735" t="s">
        <v>2834</v>
      </c>
      <c r="X735" t="s">
        <v>2834</v>
      </c>
      <c r="Y735" t="s">
        <v>2834</v>
      </c>
      <c r="Z735">
        <v>7</v>
      </c>
      <c r="AA735" t="s">
        <v>2789</v>
      </c>
      <c r="AB735">
        <v>0</v>
      </c>
      <c r="AC735" t="s">
        <v>2794</v>
      </c>
      <c r="AD735">
        <v>25181.64</v>
      </c>
      <c r="AE735">
        <v>9843.74</v>
      </c>
      <c r="AF735">
        <v>0.39090940860086953</v>
      </c>
      <c r="AG735" t="s">
        <v>2825</v>
      </c>
      <c r="AH735">
        <v>2024</v>
      </c>
      <c r="AI735" t="s">
        <v>2835</v>
      </c>
    </row>
    <row r="736" spans="1:35">
      <c r="A736" t="s">
        <v>2281</v>
      </c>
      <c r="B736">
        <v>45528</v>
      </c>
      <c r="C736">
        <v>45528</v>
      </c>
      <c r="D736" t="s">
        <v>2282</v>
      </c>
      <c r="E736" t="s">
        <v>62</v>
      </c>
      <c r="F736" t="s">
        <v>37</v>
      </c>
      <c r="G736" t="s">
        <v>25</v>
      </c>
      <c r="H736" t="s">
        <v>26</v>
      </c>
      <c r="I736" t="s">
        <v>27</v>
      </c>
      <c r="J736" t="s">
        <v>74</v>
      </c>
      <c r="K736" t="s">
        <v>75</v>
      </c>
      <c r="L736" t="s">
        <v>2283</v>
      </c>
      <c r="M736" t="s">
        <v>50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32</v>
      </c>
      <c r="U736" t="s">
        <v>33</v>
      </c>
      <c r="V736" t="s">
        <v>2834</v>
      </c>
      <c r="W736" t="s">
        <v>2834</v>
      </c>
      <c r="X736" t="s">
        <v>2834</v>
      </c>
      <c r="Y736" t="s">
        <v>2834</v>
      </c>
      <c r="Z736">
        <v>0</v>
      </c>
      <c r="AA736" t="s">
        <v>2789</v>
      </c>
      <c r="AB736">
        <v>0.2</v>
      </c>
      <c r="AC736" t="s">
        <v>2794</v>
      </c>
      <c r="AD736">
        <v>8837.9520000000011</v>
      </c>
      <c r="AE736">
        <v>2680.6820000000007</v>
      </c>
      <c r="AF736">
        <v>0.30331484036120587</v>
      </c>
      <c r="AG736" t="s">
        <v>2827</v>
      </c>
      <c r="AH736">
        <v>2024</v>
      </c>
      <c r="AI736" t="s">
        <v>2835</v>
      </c>
    </row>
    <row r="737" spans="1:35">
      <c r="A737" t="s">
        <v>2284</v>
      </c>
      <c r="B737">
        <v>45515</v>
      </c>
      <c r="C737">
        <v>45523</v>
      </c>
      <c r="D737" t="s">
        <v>2285</v>
      </c>
      <c r="E737" t="s">
        <v>36</v>
      </c>
      <c r="F737" t="s">
        <v>24</v>
      </c>
      <c r="G737" t="s">
        <v>63</v>
      </c>
      <c r="H737" t="s">
        <v>64</v>
      </c>
      <c r="I737" t="s">
        <v>65</v>
      </c>
      <c r="J737" t="s">
        <v>41</v>
      </c>
      <c r="K737" t="s">
        <v>42</v>
      </c>
      <c r="L737" t="s">
        <v>2286</v>
      </c>
      <c r="M737" t="s">
        <v>59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32</v>
      </c>
      <c r="U737" t="s">
        <v>33</v>
      </c>
      <c r="V737" t="s">
        <v>2834</v>
      </c>
      <c r="W737" t="s">
        <v>2834</v>
      </c>
      <c r="X737" t="s">
        <v>2834</v>
      </c>
      <c r="Y737" t="s">
        <v>2834</v>
      </c>
      <c r="Z737">
        <v>8</v>
      </c>
      <c r="AA737" t="s">
        <v>2789</v>
      </c>
      <c r="AB737">
        <v>0.2</v>
      </c>
      <c r="AC737" t="s">
        <v>2794</v>
      </c>
      <c r="AD737">
        <v>7275.7920000000004</v>
      </c>
      <c r="AE737">
        <v>1122.9220000000005</v>
      </c>
      <c r="AF737">
        <v>0.15433673749881804</v>
      </c>
      <c r="AG737" t="s">
        <v>2827</v>
      </c>
      <c r="AH737">
        <v>2024</v>
      </c>
      <c r="AI737" t="s">
        <v>2835</v>
      </c>
    </row>
    <row r="738" spans="1:35">
      <c r="A738" t="s">
        <v>2287</v>
      </c>
      <c r="B738">
        <v>45632</v>
      </c>
      <c r="C738">
        <v>45635</v>
      </c>
      <c r="D738" t="s">
        <v>2288</v>
      </c>
      <c r="E738" t="s">
        <v>89</v>
      </c>
      <c r="F738" t="s">
        <v>24</v>
      </c>
      <c r="G738" t="s">
        <v>63</v>
      </c>
      <c r="H738" t="s">
        <v>64</v>
      </c>
      <c r="I738" t="s">
        <v>65</v>
      </c>
      <c r="J738" t="s">
        <v>41</v>
      </c>
      <c r="K738" t="s">
        <v>66</v>
      </c>
      <c r="L738" t="s">
        <v>2289</v>
      </c>
      <c r="M738" t="s">
        <v>31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32</v>
      </c>
      <c r="U738" t="s">
        <v>33</v>
      </c>
      <c r="V738" t="s">
        <v>2834</v>
      </c>
      <c r="W738" t="s">
        <v>2834</v>
      </c>
      <c r="X738" t="s">
        <v>2834</v>
      </c>
      <c r="Y738" t="s">
        <v>2834</v>
      </c>
      <c r="Z738">
        <v>3</v>
      </c>
      <c r="AA738" t="s">
        <v>2789</v>
      </c>
      <c r="AB738">
        <v>0.1</v>
      </c>
      <c r="AC738" t="s">
        <v>2794</v>
      </c>
      <c r="AD738">
        <v>2355.0750000000003</v>
      </c>
      <c r="AE738">
        <v>1005.0450000000003</v>
      </c>
      <c r="AF738">
        <v>0.42675710964618968</v>
      </c>
      <c r="AG738" t="s">
        <v>2831</v>
      </c>
      <c r="AH738">
        <v>2024</v>
      </c>
      <c r="AI738" t="s">
        <v>2835</v>
      </c>
    </row>
    <row r="739" spans="1:35">
      <c r="A739" t="s">
        <v>2290</v>
      </c>
      <c r="B739">
        <v>45332</v>
      </c>
      <c r="C739">
        <v>45332</v>
      </c>
      <c r="D739" t="s">
        <v>2291</v>
      </c>
      <c r="E739" t="s">
        <v>47</v>
      </c>
      <c r="F739" t="s">
        <v>95</v>
      </c>
      <c r="G739" t="s">
        <v>63</v>
      </c>
      <c r="H739" t="s">
        <v>64</v>
      </c>
      <c r="I739" t="s">
        <v>65</v>
      </c>
      <c r="J739" t="s">
        <v>41</v>
      </c>
      <c r="K739" t="s">
        <v>66</v>
      </c>
      <c r="L739" t="s">
        <v>2292</v>
      </c>
      <c r="M739" t="s">
        <v>44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32</v>
      </c>
      <c r="U739" t="s">
        <v>33</v>
      </c>
      <c r="V739" t="s">
        <v>2834</v>
      </c>
      <c r="W739" t="s">
        <v>2834</v>
      </c>
      <c r="X739" t="s">
        <v>2834</v>
      </c>
      <c r="Y739" t="s">
        <v>2834</v>
      </c>
      <c r="Z739">
        <v>0</v>
      </c>
      <c r="AA739" t="s">
        <v>2789</v>
      </c>
      <c r="AB739">
        <v>0</v>
      </c>
      <c r="AC739" t="s">
        <v>2794</v>
      </c>
      <c r="AD739">
        <v>3609.12</v>
      </c>
      <c r="AE739">
        <v>963.61999999999989</v>
      </c>
      <c r="AF739">
        <v>0.2669958327791816</v>
      </c>
      <c r="AG739" t="s">
        <v>2821</v>
      </c>
      <c r="AH739">
        <v>2024</v>
      </c>
      <c r="AI739" t="s">
        <v>2835</v>
      </c>
    </row>
    <row r="740" spans="1:35">
      <c r="A740" t="s">
        <v>2293</v>
      </c>
      <c r="B740">
        <v>45708</v>
      </c>
      <c r="C740">
        <v>45710</v>
      </c>
      <c r="D740" t="s">
        <v>2294</v>
      </c>
      <c r="E740" t="s">
        <v>114</v>
      </c>
      <c r="F740" t="s">
        <v>90</v>
      </c>
      <c r="G740" t="s">
        <v>54</v>
      </c>
      <c r="H740" t="s">
        <v>185</v>
      </c>
      <c r="I740" t="s">
        <v>186</v>
      </c>
      <c r="J740" t="s">
        <v>28</v>
      </c>
      <c r="K740" t="s">
        <v>29</v>
      </c>
      <c r="L740" t="s">
        <v>2295</v>
      </c>
      <c r="M740" t="s">
        <v>50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32</v>
      </c>
      <c r="U740" t="s">
        <v>33</v>
      </c>
      <c r="V740" t="s">
        <v>2834</v>
      </c>
      <c r="W740" t="s">
        <v>2834</v>
      </c>
      <c r="X740" t="s">
        <v>2834</v>
      </c>
      <c r="Y740" t="s">
        <v>2834</v>
      </c>
      <c r="Z740">
        <v>2</v>
      </c>
      <c r="AA740" t="s">
        <v>2789</v>
      </c>
      <c r="AB740">
        <v>0</v>
      </c>
      <c r="AC740" t="s">
        <v>2794</v>
      </c>
      <c r="AD740">
        <v>2188.19</v>
      </c>
      <c r="AE740">
        <v>889.35000000000014</v>
      </c>
      <c r="AF740">
        <v>0.40643179979800664</v>
      </c>
      <c r="AG740" t="s">
        <v>2821</v>
      </c>
      <c r="AH740">
        <v>2025</v>
      </c>
      <c r="AI740" t="s">
        <v>2835</v>
      </c>
    </row>
    <row r="741" spans="1:35">
      <c r="A741" t="s">
        <v>2296</v>
      </c>
      <c r="B741">
        <v>45629</v>
      </c>
      <c r="C741">
        <v>45636</v>
      </c>
      <c r="D741" t="s">
        <v>2297</v>
      </c>
      <c r="E741" t="s">
        <v>79</v>
      </c>
      <c r="F741" t="s">
        <v>90</v>
      </c>
      <c r="G741" t="s">
        <v>25</v>
      </c>
      <c r="H741" t="s">
        <v>26</v>
      </c>
      <c r="I741" t="s">
        <v>27</v>
      </c>
      <c r="J741" t="s">
        <v>74</v>
      </c>
      <c r="K741" t="s">
        <v>171</v>
      </c>
      <c r="L741" t="s">
        <v>2298</v>
      </c>
      <c r="M741" t="s">
        <v>59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32</v>
      </c>
      <c r="U741" t="s">
        <v>33</v>
      </c>
      <c r="V741" t="s">
        <v>2834</v>
      </c>
      <c r="W741" t="s">
        <v>2834</v>
      </c>
      <c r="X741" t="s">
        <v>2834</v>
      </c>
      <c r="Y741" t="s">
        <v>2834</v>
      </c>
      <c r="Z741">
        <v>7</v>
      </c>
      <c r="AA741" t="s">
        <v>2789</v>
      </c>
      <c r="AB741">
        <v>0.05</v>
      </c>
      <c r="AC741" t="s">
        <v>2794</v>
      </c>
      <c r="AD741">
        <v>11370.835000000001</v>
      </c>
      <c r="AE741">
        <v>3901.255000000001</v>
      </c>
      <c r="AF741">
        <v>0.34309309738466881</v>
      </c>
      <c r="AG741" t="s">
        <v>2831</v>
      </c>
      <c r="AH741">
        <v>2024</v>
      </c>
      <c r="AI741" t="s">
        <v>2835</v>
      </c>
    </row>
    <row r="742" spans="1:35">
      <c r="A742" t="s">
        <v>2299</v>
      </c>
      <c r="B742">
        <v>45384</v>
      </c>
      <c r="C742">
        <v>45384</v>
      </c>
      <c r="D742" t="s">
        <v>522</v>
      </c>
      <c r="E742" t="s">
        <v>132</v>
      </c>
      <c r="F742" t="s">
        <v>37</v>
      </c>
      <c r="G742" t="s">
        <v>63</v>
      </c>
      <c r="H742" t="s">
        <v>64</v>
      </c>
      <c r="I742" t="s">
        <v>65</v>
      </c>
      <c r="J742" t="s">
        <v>41</v>
      </c>
      <c r="K742" t="s">
        <v>66</v>
      </c>
      <c r="L742" t="s">
        <v>2300</v>
      </c>
      <c r="M742" t="s">
        <v>50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32</v>
      </c>
      <c r="U742" t="s">
        <v>33</v>
      </c>
      <c r="V742" t="s">
        <v>2834</v>
      </c>
      <c r="W742" t="s">
        <v>2834</v>
      </c>
      <c r="X742" t="s">
        <v>2834</v>
      </c>
      <c r="Y742" t="s">
        <v>2834</v>
      </c>
      <c r="Z742">
        <v>0</v>
      </c>
      <c r="AA742" t="s">
        <v>2789</v>
      </c>
      <c r="AB742">
        <v>0.1</v>
      </c>
      <c r="AC742" t="s">
        <v>2794</v>
      </c>
      <c r="AD742">
        <v>9298.8000000000011</v>
      </c>
      <c r="AE742">
        <v>2750.3000000000011</v>
      </c>
      <c r="AF742">
        <v>0.29576934658235482</v>
      </c>
      <c r="AG742" t="s">
        <v>2823</v>
      </c>
      <c r="AH742">
        <v>2024</v>
      </c>
      <c r="AI742" t="s">
        <v>2835</v>
      </c>
    </row>
    <row r="743" spans="1:35">
      <c r="A743" t="s">
        <v>2301</v>
      </c>
      <c r="B743">
        <v>45770</v>
      </c>
      <c r="C743">
        <v>45772</v>
      </c>
      <c r="D743" t="s">
        <v>2302</v>
      </c>
      <c r="E743" t="s">
        <v>47</v>
      </c>
      <c r="F743" t="s">
        <v>95</v>
      </c>
      <c r="G743" t="s">
        <v>54</v>
      </c>
      <c r="H743" t="s">
        <v>247</v>
      </c>
      <c r="I743" t="s">
        <v>248</v>
      </c>
      <c r="J743" t="s">
        <v>41</v>
      </c>
      <c r="K743" t="s">
        <v>66</v>
      </c>
      <c r="L743" t="s">
        <v>2303</v>
      </c>
      <c r="M743" t="s">
        <v>31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32</v>
      </c>
      <c r="U743" t="s">
        <v>68</v>
      </c>
      <c r="V743" t="s">
        <v>2834</v>
      </c>
      <c r="W743" t="s">
        <v>2834</v>
      </c>
      <c r="X743" t="s">
        <v>2834</v>
      </c>
      <c r="Y743" t="s">
        <v>2834</v>
      </c>
      <c r="Z743">
        <v>2</v>
      </c>
      <c r="AA743" t="s">
        <v>2789</v>
      </c>
      <c r="AB743">
        <v>0</v>
      </c>
      <c r="AC743" t="s">
        <v>2796</v>
      </c>
      <c r="AD743">
        <v>8853.36</v>
      </c>
      <c r="AE743">
        <v>3257.0200000000004</v>
      </c>
      <c r="AF743">
        <v>0.36788518709280998</v>
      </c>
      <c r="AG743" t="s">
        <v>2823</v>
      </c>
      <c r="AH743">
        <v>2025</v>
      </c>
      <c r="AI743" t="s">
        <v>2838</v>
      </c>
    </row>
    <row r="744" spans="1:35">
      <c r="A744" t="s">
        <v>2304</v>
      </c>
      <c r="B744">
        <v>45580</v>
      </c>
      <c r="C744">
        <v>45587</v>
      </c>
      <c r="D744" t="s">
        <v>2305</v>
      </c>
      <c r="E744" t="s">
        <v>23</v>
      </c>
      <c r="F744" t="s">
        <v>90</v>
      </c>
      <c r="G744" t="s">
        <v>38</v>
      </c>
      <c r="H744" t="s">
        <v>39</v>
      </c>
      <c r="I744" t="s">
        <v>40</v>
      </c>
      <c r="J744" t="s">
        <v>28</v>
      </c>
      <c r="K744" t="s">
        <v>29</v>
      </c>
      <c r="L744" t="s">
        <v>2306</v>
      </c>
      <c r="M744" t="s">
        <v>59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32</v>
      </c>
      <c r="U744" t="s">
        <v>33</v>
      </c>
      <c r="V744" t="s">
        <v>2834</v>
      </c>
      <c r="W744" t="s">
        <v>2834</v>
      </c>
      <c r="X744" t="s">
        <v>2834</v>
      </c>
      <c r="Y744" t="s">
        <v>2834</v>
      </c>
      <c r="Z744">
        <v>7</v>
      </c>
      <c r="AA744" t="s">
        <v>2789</v>
      </c>
      <c r="AB744">
        <v>0</v>
      </c>
      <c r="AC744" t="s">
        <v>2794</v>
      </c>
      <c r="AD744">
        <v>9043.7999999999993</v>
      </c>
      <c r="AE744">
        <v>3130.4199999999992</v>
      </c>
      <c r="AF744">
        <v>0.34613989694597397</v>
      </c>
      <c r="AG744" t="s">
        <v>2829</v>
      </c>
      <c r="AH744">
        <v>2024</v>
      </c>
      <c r="AI744" t="s">
        <v>2835</v>
      </c>
    </row>
    <row r="745" spans="1:35">
      <c r="A745" t="s">
        <v>2307</v>
      </c>
      <c r="B745">
        <v>45700</v>
      </c>
      <c r="C745">
        <v>45702</v>
      </c>
      <c r="D745" t="s">
        <v>2308</v>
      </c>
      <c r="E745" t="s">
        <v>132</v>
      </c>
      <c r="F745" t="s">
        <v>24</v>
      </c>
      <c r="G745" t="s">
        <v>25</v>
      </c>
      <c r="H745" t="s">
        <v>136</v>
      </c>
      <c r="I745" t="s">
        <v>137</v>
      </c>
      <c r="J745" t="s">
        <v>28</v>
      </c>
      <c r="K745" t="s">
        <v>48</v>
      </c>
      <c r="L745" t="s">
        <v>2309</v>
      </c>
      <c r="M745" t="s">
        <v>59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32</v>
      </c>
      <c r="U745" t="s">
        <v>33</v>
      </c>
      <c r="V745" t="s">
        <v>2834</v>
      </c>
      <c r="W745" t="s">
        <v>2834</v>
      </c>
      <c r="X745" t="s">
        <v>2834</v>
      </c>
      <c r="Y745" t="s">
        <v>2834</v>
      </c>
      <c r="Z745">
        <v>2</v>
      </c>
      <c r="AA745" t="s">
        <v>2789</v>
      </c>
      <c r="AB745">
        <v>0.25</v>
      </c>
      <c r="AC745" t="s">
        <v>2794</v>
      </c>
      <c r="AD745">
        <v>2211.2999999999997</v>
      </c>
      <c r="AE745">
        <v>475.65999999999963</v>
      </c>
      <c r="AF745">
        <v>0.21510423732645942</v>
      </c>
      <c r="AG745" t="s">
        <v>2821</v>
      </c>
      <c r="AH745">
        <v>2025</v>
      </c>
      <c r="AI745" t="s">
        <v>2835</v>
      </c>
    </row>
    <row r="746" spans="1:35">
      <c r="A746" t="s">
        <v>2310</v>
      </c>
      <c r="B746">
        <v>45886</v>
      </c>
      <c r="C746">
        <v>45889</v>
      </c>
      <c r="D746" t="s">
        <v>2311</v>
      </c>
      <c r="E746" t="s">
        <v>36</v>
      </c>
      <c r="F746" t="s">
        <v>95</v>
      </c>
      <c r="G746" t="s">
        <v>25</v>
      </c>
      <c r="H746" t="s">
        <v>122</v>
      </c>
      <c r="I746" t="s">
        <v>123</v>
      </c>
      <c r="J746" t="s">
        <v>28</v>
      </c>
      <c r="K746" t="s">
        <v>153</v>
      </c>
      <c r="L746" t="s">
        <v>2312</v>
      </c>
      <c r="M746" t="s">
        <v>50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32</v>
      </c>
      <c r="U746" t="s">
        <v>68</v>
      </c>
      <c r="V746" t="s">
        <v>2834</v>
      </c>
      <c r="W746" t="s">
        <v>2834</v>
      </c>
      <c r="X746" t="s">
        <v>2834</v>
      </c>
      <c r="Y746" t="s">
        <v>2834</v>
      </c>
      <c r="Z746">
        <v>3</v>
      </c>
      <c r="AA746" t="s">
        <v>2789</v>
      </c>
      <c r="AB746">
        <v>0.1</v>
      </c>
      <c r="AC746" t="s">
        <v>2794</v>
      </c>
      <c r="AD746">
        <v>12158.504999999999</v>
      </c>
      <c r="AE746">
        <v>1898.4349999999995</v>
      </c>
      <c r="AF746">
        <v>0.15614049589155901</v>
      </c>
      <c r="AG746" t="s">
        <v>2827</v>
      </c>
      <c r="AH746">
        <v>2025</v>
      </c>
      <c r="AI746" t="s">
        <v>2835</v>
      </c>
    </row>
    <row r="747" spans="1:35">
      <c r="A747" t="s">
        <v>2313</v>
      </c>
      <c r="B747">
        <v>45589</v>
      </c>
      <c r="C747">
        <v>45593</v>
      </c>
      <c r="D747" t="s">
        <v>2314</v>
      </c>
      <c r="E747" t="s">
        <v>36</v>
      </c>
      <c r="F747" t="s">
        <v>37</v>
      </c>
      <c r="G747" t="s">
        <v>38</v>
      </c>
      <c r="H747" t="s">
        <v>166</v>
      </c>
      <c r="I747" t="s">
        <v>167</v>
      </c>
      <c r="J747" t="s">
        <v>74</v>
      </c>
      <c r="K747" t="s">
        <v>80</v>
      </c>
      <c r="L747" t="s">
        <v>2315</v>
      </c>
      <c r="M747" t="s">
        <v>59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32</v>
      </c>
      <c r="U747" t="s">
        <v>33</v>
      </c>
      <c r="V747" t="s">
        <v>2834</v>
      </c>
      <c r="W747" t="s">
        <v>2834</v>
      </c>
      <c r="X747" t="s">
        <v>2834</v>
      </c>
      <c r="Y747" t="s">
        <v>2834</v>
      </c>
      <c r="Z747">
        <v>4</v>
      </c>
      <c r="AA747" t="s">
        <v>2789</v>
      </c>
      <c r="AB747">
        <v>0.2</v>
      </c>
      <c r="AC747" t="s">
        <v>2794</v>
      </c>
      <c r="AD747">
        <v>1736.616</v>
      </c>
      <c r="AE747">
        <v>677.096</v>
      </c>
      <c r="AF747">
        <v>0.38989390861307277</v>
      </c>
      <c r="AG747" t="s">
        <v>2829</v>
      </c>
      <c r="AH747">
        <v>2024</v>
      </c>
      <c r="AI747" t="s">
        <v>2835</v>
      </c>
    </row>
    <row r="748" spans="1:35">
      <c r="A748" t="s">
        <v>2316</v>
      </c>
      <c r="B748">
        <v>45661</v>
      </c>
      <c r="C748">
        <v>45667</v>
      </c>
      <c r="D748" t="s">
        <v>2025</v>
      </c>
      <c r="E748" t="s">
        <v>128</v>
      </c>
      <c r="F748" t="s">
        <v>95</v>
      </c>
      <c r="G748" t="s">
        <v>38</v>
      </c>
      <c r="H748" t="s">
        <v>99</v>
      </c>
      <c r="I748" t="s">
        <v>100</v>
      </c>
      <c r="J748" t="s">
        <v>28</v>
      </c>
      <c r="K748" t="s">
        <v>29</v>
      </c>
      <c r="L748" t="s">
        <v>2317</v>
      </c>
      <c r="M748" t="s">
        <v>59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32</v>
      </c>
      <c r="U748" t="s">
        <v>33</v>
      </c>
      <c r="V748" t="s">
        <v>2834</v>
      </c>
      <c r="W748" t="s">
        <v>2834</v>
      </c>
      <c r="X748" t="s">
        <v>2834</v>
      </c>
      <c r="Y748" t="s">
        <v>2834</v>
      </c>
      <c r="Z748">
        <v>6</v>
      </c>
      <c r="AA748" t="s">
        <v>2789</v>
      </c>
      <c r="AB748">
        <v>0.2</v>
      </c>
      <c r="AC748" t="s">
        <v>2794</v>
      </c>
      <c r="AD748">
        <v>8266.2080000000005</v>
      </c>
      <c r="AE748">
        <v>2029.8880000000008</v>
      </c>
      <c r="AF748">
        <v>0.24556459261610653</v>
      </c>
      <c r="AG748" t="s">
        <v>2820</v>
      </c>
      <c r="AH748">
        <v>2025</v>
      </c>
      <c r="AI748" t="s">
        <v>2835</v>
      </c>
    </row>
    <row r="749" spans="1:35">
      <c r="A749" t="s">
        <v>2318</v>
      </c>
      <c r="B749">
        <v>45413</v>
      </c>
      <c r="C749">
        <v>45419</v>
      </c>
      <c r="D749" t="s">
        <v>2319</v>
      </c>
      <c r="E749" t="s">
        <v>47</v>
      </c>
      <c r="F749" t="s">
        <v>95</v>
      </c>
      <c r="G749" t="s">
        <v>38</v>
      </c>
      <c r="H749" t="s">
        <v>39</v>
      </c>
      <c r="I749" t="s">
        <v>40</v>
      </c>
      <c r="J749" t="s">
        <v>28</v>
      </c>
      <c r="K749" t="s">
        <v>29</v>
      </c>
      <c r="L749" t="s">
        <v>2320</v>
      </c>
      <c r="M749" t="s">
        <v>44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32</v>
      </c>
      <c r="U749" t="s">
        <v>33</v>
      </c>
      <c r="V749" t="s">
        <v>2834</v>
      </c>
      <c r="W749" t="s">
        <v>2834</v>
      </c>
      <c r="X749" t="s">
        <v>2834</v>
      </c>
      <c r="Y749" t="s">
        <v>2834</v>
      </c>
      <c r="Z749">
        <v>6</v>
      </c>
      <c r="AA749" t="s">
        <v>2789</v>
      </c>
      <c r="AB749">
        <v>0.15</v>
      </c>
      <c r="AC749" t="s">
        <v>2794</v>
      </c>
      <c r="AD749">
        <v>10022.044</v>
      </c>
      <c r="AE749">
        <v>4445.0640000000003</v>
      </c>
      <c r="AF749">
        <v>0.44352868536597928</v>
      </c>
      <c r="AG749" t="s">
        <v>2824</v>
      </c>
      <c r="AH749">
        <v>2024</v>
      </c>
      <c r="AI749" t="s">
        <v>2835</v>
      </c>
    </row>
    <row r="750" spans="1:35">
      <c r="A750" t="s">
        <v>2321</v>
      </c>
      <c r="B750">
        <v>45442</v>
      </c>
      <c r="C750">
        <v>45442</v>
      </c>
      <c r="D750" t="s">
        <v>2322</v>
      </c>
      <c r="E750" t="s">
        <v>162</v>
      </c>
      <c r="F750" t="s">
        <v>95</v>
      </c>
      <c r="G750" t="s">
        <v>25</v>
      </c>
      <c r="H750" t="s">
        <v>236</v>
      </c>
      <c r="I750" t="s">
        <v>237</v>
      </c>
      <c r="J750" t="s">
        <v>74</v>
      </c>
      <c r="K750" t="s">
        <v>171</v>
      </c>
      <c r="L750" t="s">
        <v>2323</v>
      </c>
      <c r="M750" t="s">
        <v>31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32</v>
      </c>
      <c r="U750" t="s">
        <v>33</v>
      </c>
      <c r="V750" t="s">
        <v>2834</v>
      </c>
      <c r="W750" t="s">
        <v>2834</v>
      </c>
      <c r="X750" t="s">
        <v>2834</v>
      </c>
      <c r="Y750" t="s">
        <v>2834</v>
      </c>
      <c r="Z750">
        <v>0</v>
      </c>
      <c r="AA750" t="s">
        <v>2789</v>
      </c>
      <c r="AB750">
        <v>0.25</v>
      </c>
      <c r="AC750" t="s">
        <v>2794</v>
      </c>
      <c r="AD750">
        <v>2886.0299999999997</v>
      </c>
      <c r="AE750">
        <v>821.19999999999982</v>
      </c>
      <c r="AF750">
        <v>0.28454312671732446</v>
      </c>
      <c r="AG750" t="s">
        <v>2824</v>
      </c>
      <c r="AH750">
        <v>2024</v>
      </c>
      <c r="AI750" t="s">
        <v>2835</v>
      </c>
    </row>
    <row r="751" spans="1:35">
      <c r="A751" t="s">
        <v>2324</v>
      </c>
      <c r="B751">
        <v>45372</v>
      </c>
      <c r="C751">
        <v>45376</v>
      </c>
      <c r="D751" t="s">
        <v>2325</v>
      </c>
      <c r="E751" t="s">
        <v>89</v>
      </c>
      <c r="F751" t="s">
        <v>95</v>
      </c>
      <c r="G751" t="s">
        <v>38</v>
      </c>
      <c r="H751" t="s">
        <v>166</v>
      </c>
      <c r="I751" t="s">
        <v>167</v>
      </c>
      <c r="J751" t="s">
        <v>74</v>
      </c>
      <c r="K751" t="s">
        <v>274</v>
      </c>
      <c r="L751" t="s">
        <v>2326</v>
      </c>
      <c r="M751" t="s">
        <v>59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32</v>
      </c>
      <c r="U751" t="s">
        <v>33</v>
      </c>
      <c r="V751" t="s">
        <v>2834</v>
      </c>
      <c r="W751" t="s">
        <v>2834</v>
      </c>
      <c r="X751" t="s">
        <v>2834</v>
      </c>
      <c r="Y751" t="s">
        <v>2834</v>
      </c>
      <c r="Z751">
        <v>4</v>
      </c>
      <c r="AA751" t="s">
        <v>2789</v>
      </c>
      <c r="AB751">
        <v>0.15</v>
      </c>
      <c r="AC751" t="s">
        <v>2794</v>
      </c>
      <c r="AD751">
        <v>1459.1949999999999</v>
      </c>
      <c r="AE751">
        <v>403.40499999999997</v>
      </c>
      <c r="AF751">
        <v>0.27645722470266137</v>
      </c>
      <c r="AG751" t="s">
        <v>2822</v>
      </c>
      <c r="AH751">
        <v>2024</v>
      </c>
      <c r="AI751" t="s">
        <v>2835</v>
      </c>
    </row>
    <row r="752" spans="1:35">
      <c r="A752" t="s">
        <v>2327</v>
      </c>
      <c r="B752">
        <v>45810</v>
      </c>
      <c r="C752">
        <v>45810</v>
      </c>
      <c r="D752" t="s">
        <v>2328</v>
      </c>
      <c r="E752" t="s">
        <v>128</v>
      </c>
      <c r="F752" t="s">
        <v>95</v>
      </c>
      <c r="G752" t="s">
        <v>54</v>
      </c>
      <c r="H752" t="s">
        <v>55</v>
      </c>
      <c r="I752" t="s">
        <v>56</v>
      </c>
      <c r="J752" t="s">
        <v>74</v>
      </c>
      <c r="K752" t="s">
        <v>75</v>
      </c>
      <c r="L752" t="s">
        <v>2329</v>
      </c>
      <c r="M752" t="s">
        <v>50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32</v>
      </c>
      <c r="U752" t="s">
        <v>33</v>
      </c>
      <c r="V752" t="s">
        <v>2834</v>
      </c>
      <c r="W752" t="s">
        <v>2834</v>
      </c>
      <c r="X752" t="s">
        <v>2834</v>
      </c>
      <c r="Y752" t="s">
        <v>2834</v>
      </c>
      <c r="Z752">
        <v>0</v>
      </c>
      <c r="AA752" t="s">
        <v>2789</v>
      </c>
      <c r="AB752">
        <v>0.15</v>
      </c>
      <c r="AC752" t="s">
        <v>2794</v>
      </c>
      <c r="AD752">
        <v>26696.323999999997</v>
      </c>
      <c r="AE752">
        <v>3971.8039999999964</v>
      </c>
      <c r="AF752">
        <v>0.14877718745097629</v>
      </c>
      <c r="AG752" t="s">
        <v>2825</v>
      </c>
      <c r="AH752">
        <v>2025</v>
      </c>
      <c r="AI752" t="s">
        <v>2835</v>
      </c>
    </row>
    <row r="753" spans="1:35">
      <c r="A753" t="s">
        <v>2330</v>
      </c>
      <c r="B753">
        <v>45856</v>
      </c>
      <c r="C753">
        <v>45857</v>
      </c>
      <c r="D753" t="s">
        <v>2331</v>
      </c>
      <c r="E753" t="s">
        <v>114</v>
      </c>
      <c r="F753" t="s">
        <v>95</v>
      </c>
      <c r="G753" t="s">
        <v>2791</v>
      </c>
      <c r="H753" t="s">
        <v>136</v>
      </c>
      <c r="I753" t="s">
        <v>137</v>
      </c>
      <c r="J753" t="s">
        <v>74</v>
      </c>
      <c r="K753" t="s">
        <v>274</v>
      </c>
      <c r="L753" t="s">
        <v>2332</v>
      </c>
      <c r="M753" t="s">
        <v>2791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32</v>
      </c>
      <c r="U753" t="s">
        <v>33</v>
      </c>
      <c r="V753" t="s">
        <v>2834</v>
      </c>
      <c r="W753" t="s">
        <v>2834</v>
      </c>
      <c r="X753" t="s">
        <v>2834</v>
      </c>
      <c r="Y753" t="s">
        <v>2834</v>
      </c>
      <c r="Z753">
        <v>1</v>
      </c>
      <c r="AA753" t="s">
        <v>2789</v>
      </c>
      <c r="AB753">
        <v>0.05</v>
      </c>
      <c r="AC753" t="s">
        <v>2794</v>
      </c>
      <c r="AD753">
        <v>8445.2624999999989</v>
      </c>
      <c r="AE753">
        <v>1507.6624999999985</v>
      </c>
      <c r="AF753">
        <v>0.17852168597482893</v>
      </c>
      <c r="AG753" t="s">
        <v>2826</v>
      </c>
      <c r="AH753">
        <v>2025</v>
      </c>
      <c r="AI753" t="s">
        <v>2838</v>
      </c>
    </row>
    <row r="754" spans="1:35">
      <c r="A754" t="s">
        <v>2333</v>
      </c>
      <c r="B754">
        <v>45375</v>
      </c>
      <c r="C754">
        <v>45378</v>
      </c>
      <c r="D754" t="s">
        <v>2334</v>
      </c>
      <c r="E754" t="s">
        <v>89</v>
      </c>
      <c r="F754" t="s">
        <v>90</v>
      </c>
      <c r="G754" t="s">
        <v>63</v>
      </c>
      <c r="H754" t="s">
        <v>180</v>
      </c>
      <c r="I754" t="s">
        <v>181</v>
      </c>
      <c r="J754" t="s">
        <v>28</v>
      </c>
      <c r="K754" t="s">
        <v>124</v>
      </c>
      <c r="L754" t="s">
        <v>2335</v>
      </c>
      <c r="M754" t="s">
        <v>50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32</v>
      </c>
      <c r="U754" t="s">
        <v>33</v>
      </c>
      <c r="V754" t="s">
        <v>2834</v>
      </c>
      <c r="W754" t="s">
        <v>2834</v>
      </c>
      <c r="X754" t="s">
        <v>2834</v>
      </c>
      <c r="Y754" t="s">
        <v>2834</v>
      </c>
      <c r="Z754">
        <v>3</v>
      </c>
      <c r="AA754" t="s">
        <v>2789</v>
      </c>
      <c r="AB754">
        <v>0.05</v>
      </c>
      <c r="AC754" t="s">
        <v>2794</v>
      </c>
      <c r="AD754">
        <v>11709.794999999998</v>
      </c>
      <c r="AE754">
        <v>3337.5049999999974</v>
      </c>
      <c r="AF754">
        <v>0.28501822619439521</v>
      </c>
      <c r="AG754" t="s">
        <v>2822</v>
      </c>
      <c r="AH754">
        <v>2024</v>
      </c>
      <c r="AI754" t="s">
        <v>2835</v>
      </c>
    </row>
    <row r="755" spans="1:35">
      <c r="A755" t="s">
        <v>2336</v>
      </c>
      <c r="B755">
        <v>45515</v>
      </c>
      <c r="C755">
        <v>45514</v>
      </c>
      <c r="D755" t="s">
        <v>2337</v>
      </c>
      <c r="E755" t="s">
        <v>89</v>
      </c>
      <c r="F755" t="s">
        <v>90</v>
      </c>
      <c r="G755" t="s">
        <v>25</v>
      </c>
      <c r="H755" t="s">
        <v>350</v>
      </c>
      <c r="I755" t="s">
        <v>351</v>
      </c>
      <c r="J755" t="s">
        <v>41</v>
      </c>
      <c r="K755" t="s">
        <v>57</v>
      </c>
      <c r="L755" t="s">
        <v>2338</v>
      </c>
      <c r="M755" t="s">
        <v>31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155</v>
      </c>
      <c r="U755" t="s">
        <v>103</v>
      </c>
      <c r="V755" t="s">
        <v>2834</v>
      </c>
      <c r="W755" t="s">
        <v>2834</v>
      </c>
      <c r="X755" t="s">
        <v>2834</v>
      </c>
      <c r="Y755" t="s">
        <v>2837</v>
      </c>
      <c r="Z755">
        <v>-1</v>
      </c>
      <c r="AA755" t="s">
        <v>2789</v>
      </c>
      <c r="AB755">
        <v>0.15</v>
      </c>
      <c r="AC755" t="s">
        <v>2794</v>
      </c>
      <c r="AD755">
        <v>2593.9109999999996</v>
      </c>
      <c r="AE755">
        <v>745.43099999999959</v>
      </c>
      <c r="AF755">
        <v>0.28737724617382776</v>
      </c>
      <c r="AG755" t="s">
        <v>2827</v>
      </c>
      <c r="AH755">
        <v>2024</v>
      </c>
      <c r="AI755" t="s">
        <v>2836</v>
      </c>
    </row>
    <row r="756" spans="1:35">
      <c r="A756" t="s">
        <v>2339</v>
      </c>
      <c r="B756">
        <v>45812</v>
      </c>
      <c r="C756">
        <v>45812</v>
      </c>
      <c r="D756" t="s">
        <v>2340</v>
      </c>
      <c r="E756" t="s">
        <v>79</v>
      </c>
      <c r="F756" t="s">
        <v>90</v>
      </c>
      <c r="G756" t="s">
        <v>54</v>
      </c>
      <c r="H756" t="s">
        <v>185</v>
      </c>
      <c r="I756" t="s">
        <v>186</v>
      </c>
      <c r="J756" t="s">
        <v>28</v>
      </c>
      <c r="K756" t="s">
        <v>124</v>
      </c>
      <c r="L756" t="s">
        <v>2341</v>
      </c>
      <c r="M756" t="s">
        <v>59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32</v>
      </c>
      <c r="U756" t="s">
        <v>33</v>
      </c>
      <c r="V756" t="s">
        <v>2834</v>
      </c>
      <c r="W756" t="s">
        <v>2834</v>
      </c>
      <c r="X756" t="s">
        <v>2834</v>
      </c>
      <c r="Y756" t="s">
        <v>2834</v>
      </c>
      <c r="Z756">
        <v>0</v>
      </c>
      <c r="AA756" t="s">
        <v>2789</v>
      </c>
      <c r="AB756">
        <v>0.25</v>
      </c>
      <c r="AC756" t="s">
        <v>2794</v>
      </c>
      <c r="AD756">
        <v>2674.02</v>
      </c>
      <c r="AE756">
        <v>466.44999999999982</v>
      </c>
      <c r="AF756">
        <v>0.17443773793763689</v>
      </c>
      <c r="AG756" t="s">
        <v>2825</v>
      </c>
      <c r="AH756">
        <v>2025</v>
      </c>
      <c r="AI756" t="s">
        <v>2835</v>
      </c>
    </row>
    <row r="757" spans="1:35">
      <c r="A757" t="s">
        <v>2342</v>
      </c>
      <c r="B757">
        <v>45858</v>
      </c>
      <c r="C757">
        <v>45862</v>
      </c>
      <c r="D757" t="s">
        <v>2343</v>
      </c>
      <c r="E757" t="s">
        <v>114</v>
      </c>
      <c r="F757" t="s">
        <v>95</v>
      </c>
      <c r="G757" t="s">
        <v>63</v>
      </c>
      <c r="H757" t="s">
        <v>72</v>
      </c>
      <c r="I757" t="s">
        <v>73</v>
      </c>
      <c r="J757" t="s">
        <v>28</v>
      </c>
      <c r="K757" t="s">
        <v>124</v>
      </c>
      <c r="L757" t="s">
        <v>2344</v>
      </c>
      <c r="M757" t="s">
        <v>31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32</v>
      </c>
      <c r="U757" t="s">
        <v>33</v>
      </c>
      <c r="V757" t="s">
        <v>2834</v>
      </c>
      <c r="W757" t="s">
        <v>2834</v>
      </c>
      <c r="X757" t="s">
        <v>2834</v>
      </c>
      <c r="Y757" t="s">
        <v>2834</v>
      </c>
      <c r="Z757">
        <v>4</v>
      </c>
      <c r="AA757" t="s">
        <v>2789</v>
      </c>
      <c r="AB757">
        <v>0.2</v>
      </c>
      <c r="AC757" t="s">
        <v>2794</v>
      </c>
      <c r="AD757">
        <v>9926.9599999999991</v>
      </c>
      <c r="AE757">
        <v>1931.9799999999996</v>
      </c>
      <c r="AF757">
        <v>0.19461950083409219</v>
      </c>
      <c r="AG757" t="s">
        <v>2826</v>
      </c>
      <c r="AH757">
        <v>2025</v>
      </c>
      <c r="AI757" t="s">
        <v>2835</v>
      </c>
    </row>
    <row r="758" spans="1:35">
      <c r="A758" t="s">
        <v>2345</v>
      </c>
      <c r="B758">
        <v>45592</v>
      </c>
      <c r="C758">
        <v>45597</v>
      </c>
      <c r="D758" t="s">
        <v>2346</v>
      </c>
      <c r="E758" t="s">
        <v>141</v>
      </c>
      <c r="F758" t="s">
        <v>24</v>
      </c>
      <c r="G758" t="s">
        <v>25</v>
      </c>
      <c r="H758" t="s">
        <v>26</v>
      </c>
      <c r="I758" t="s">
        <v>27</v>
      </c>
      <c r="J758" t="s">
        <v>74</v>
      </c>
      <c r="K758" t="s">
        <v>75</v>
      </c>
      <c r="L758" t="s">
        <v>2347</v>
      </c>
      <c r="M758" t="s">
        <v>44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32</v>
      </c>
      <c r="U758" t="s">
        <v>103</v>
      </c>
      <c r="V758" t="s">
        <v>2834</v>
      </c>
      <c r="W758" t="s">
        <v>2834</v>
      </c>
      <c r="X758" t="s">
        <v>2834</v>
      </c>
      <c r="Y758" t="s">
        <v>2834</v>
      </c>
      <c r="Z758">
        <v>5</v>
      </c>
      <c r="AA758" t="s">
        <v>2789</v>
      </c>
      <c r="AB758">
        <v>0.2</v>
      </c>
      <c r="AC758" t="s">
        <v>2794</v>
      </c>
      <c r="AD758">
        <v>12191.76</v>
      </c>
      <c r="AE758">
        <v>1734.2700000000004</v>
      </c>
      <c r="AF758">
        <v>0.14224935530226976</v>
      </c>
      <c r="AG758" t="s">
        <v>2829</v>
      </c>
      <c r="AH758">
        <v>2024</v>
      </c>
      <c r="AI758" t="s">
        <v>2835</v>
      </c>
    </row>
    <row r="759" spans="1:35">
      <c r="A759" t="s">
        <v>2348</v>
      </c>
      <c r="B759">
        <v>45870</v>
      </c>
      <c r="C759">
        <v>45872</v>
      </c>
      <c r="D759" t="s">
        <v>2349</v>
      </c>
      <c r="E759" t="s">
        <v>89</v>
      </c>
      <c r="F759" t="s">
        <v>37</v>
      </c>
      <c r="G759" t="s">
        <v>54</v>
      </c>
      <c r="H759" t="s">
        <v>185</v>
      </c>
      <c r="I759" t="s">
        <v>186</v>
      </c>
      <c r="J759" t="s">
        <v>41</v>
      </c>
      <c r="K759" t="s">
        <v>158</v>
      </c>
      <c r="L759" t="s">
        <v>2350</v>
      </c>
      <c r="M759" t="s">
        <v>59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155</v>
      </c>
      <c r="U759" t="s">
        <v>68</v>
      </c>
      <c r="V759" t="s">
        <v>2834</v>
      </c>
      <c r="W759" t="s">
        <v>2834</v>
      </c>
      <c r="X759" t="s">
        <v>2834</v>
      </c>
      <c r="Y759" t="s">
        <v>2834</v>
      </c>
      <c r="Z759">
        <v>2</v>
      </c>
      <c r="AA759" t="s">
        <v>2789</v>
      </c>
      <c r="AB759">
        <v>0.25</v>
      </c>
      <c r="AC759" t="s">
        <v>2794</v>
      </c>
      <c r="AD759">
        <v>4285.7550000000001</v>
      </c>
      <c r="AE759">
        <v>1899.4250000000002</v>
      </c>
      <c r="AF759">
        <v>0.44319495631458172</v>
      </c>
      <c r="AG759" t="s">
        <v>2827</v>
      </c>
      <c r="AH759">
        <v>2025</v>
      </c>
      <c r="AI759" t="s">
        <v>2835</v>
      </c>
    </row>
    <row r="760" spans="1:35">
      <c r="A760" t="s">
        <v>2351</v>
      </c>
      <c r="B760">
        <v>45414</v>
      </c>
      <c r="C760">
        <v>45422</v>
      </c>
      <c r="D760" t="s">
        <v>2352</v>
      </c>
      <c r="E760" t="s">
        <v>128</v>
      </c>
      <c r="F760" t="s">
        <v>37</v>
      </c>
      <c r="G760" t="s">
        <v>54</v>
      </c>
      <c r="H760" t="s">
        <v>175</v>
      </c>
      <c r="I760" t="s">
        <v>176</v>
      </c>
      <c r="J760" t="s">
        <v>41</v>
      </c>
      <c r="K760" t="s">
        <v>66</v>
      </c>
      <c r="L760" t="s">
        <v>2353</v>
      </c>
      <c r="M760" t="s">
        <v>59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32</v>
      </c>
      <c r="U760" t="s">
        <v>33</v>
      </c>
      <c r="V760" t="s">
        <v>2834</v>
      </c>
      <c r="W760" t="s">
        <v>2834</v>
      </c>
      <c r="X760" t="s">
        <v>2834</v>
      </c>
      <c r="Y760" t="s">
        <v>2834</v>
      </c>
      <c r="Z760">
        <v>8</v>
      </c>
      <c r="AA760" t="s">
        <v>2789</v>
      </c>
      <c r="AB760">
        <v>0</v>
      </c>
      <c r="AC760" t="s">
        <v>2794</v>
      </c>
      <c r="AD760">
        <v>4166.91</v>
      </c>
      <c r="AE760">
        <v>754.27999999999975</v>
      </c>
      <c r="AF760">
        <v>0.18101662862888801</v>
      </c>
      <c r="AG760" t="s">
        <v>2824</v>
      </c>
      <c r="AH760">
        <v>2024</v>
      </c>
      <c r="AI760" t="s">
        <v>2835</v>
      </c>
    </row>
    <row r="761" spans="1:35">
      <c r="A761" t="s">
        <v>2354</v>
      </c>
      <c r="B761">
        <v>45492</v>
      </c>
      <c r="C761">
        <v>45499</v>
      </c>
      <c r="D761" t="s">
        <v>2355</v>
      </c>
      <c r="E761" t="s">
        <v>53</v>
      </c>
      <c r="F761" t="s">
        <v>95</v>
      </c>
      <c r="G761" t="s">
        <v>54</v>
      </c>
      <c r="H761" t="s">
        <v>175</v>
      </c>
      <c r="I761" t="s">
        <v>176</v>
      </c>
      <c r="J761" t="s">
        <v>41</v>
      </c>
      <c r="K761" t="s">
        <v>42</v>
      </c>
      <c r="L761" t="s">
        <v>2356</v>
      </c>
      <c r="M761" t="s">
        <v>31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32</v>
      </c>
      <c r="U761" t="s">
        <v>33</v>
      </c>
      <c r="V761" t="s">
        <v>2834</v>
      </c>
      <c r="W761" t="s">
        <v>2834</v>
      </c>
      <c r="X761" t="s">
        <v>2834</v>
      </c>
      <c r="Y761" t="s">
        <v>2834</v>
      </c>
      <c r="Z761">
        <v>7</v>
      </c>
      <c r="AA761" t="s">
        <v>2789</v>
      </c>
      <c r="AB761">
        <v>0.25</v>
      </c>
      <c r="AC761" t="s">
        <v>2794</v>
      </c>
      <c r="AD761">
        <v>14947.537500000002</v>
      </c>
      <c r="AE761">
        <v>5509.0775000000031</v>
      </c>
      <c r="AF761">
        <v>0.36856087499362367</v>
      </c>
      <c r="AG761" t="s">
        <v>2826</v>
      </c>
      <c r="AH761">
        <v>2024</v>
      </c>
      <c r="AI761" t="s">
        <v>2835</v>
      </c>
    </row>
    <row r="762" spans="1:35">
      <c r="A762" t="s">
        <v>2357</v>
      </c>
      <c r="B762">
        <v>45532</v>
      </c>
      <c r="C762">
        <v>45537</v>
      </c>
      <c r="D762" t="s">
        <v>2358</v>
      </c>
      <c r="E762" t="s">
        <v>89</v>
      </c>
      <c r="F762" t="s">
        <v>95</v>
      </c>
      <c r="G762" t="s">
        <v>38</v>
      </c>
      <c r="H762" t="s">
        <v>166</v>
      </c>
      <c r="I762" t="s">
        <v>167</v>
      </c>
      <c r="J762" t="s">
        <v>28</v>
      </c>
      <c r="K762" t="s">
        <v>48</v>
      </c>
      <c r="L762" t="s">
        <v>2359</v>
      </c>
      <c r="M762" t="s">
        <v>31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111</v>
      </c>
      <c r="U762" t="s">
        <v>103</v>
      </c>
      <c r="V762" t="s">
        <v>2834</v>
      </c>
      <c r="W762" t="s">
        <v>2834</v>
      </c>
      <c r="X762" t="s">
        <v>2834</v>
      </c>
      <c r="Y762" t="s">
        <v>2834</v>
      </c>
      <c r="Z762">
        <v>5</v>
      </c>
      <c r="AA762" t="s">
        <v>2789</v>
      </c>
      <c r="AB762">
        <v>0</v>
      </c>
      <c r="AC762" t="s">
        <v>2794</v>
      </c>
      <c r="AD762">
        <v>13462.12</v>
      </c>
      <c r="AE762">
        <v>5861.4900000000007</v>
      </c>
      <c r="AF762">
        <v>0.43540616188237813</v>
      </c>
      <c r="AG762" t="s">
        <v>2827</v>
      </c>
      <c r="AH762">
        <v>2024</v>
      </c>
      <c r="AI762" t="s">
        <v>2835</v>
      </c>
    </row>
    <row r="763" spans="1:35">
      <c r="A763" t="s">
        <v>2360</v>
      </c>
      <c r="B763">
        <v>45896</v>
      </c>
      <c r="C763">
        <v>45900</v>
      </c>
      <c r="D763" t="s">
        <v>2361</v>
      </c>
      <c r="E763" t="s">
        <v>47</v>
      </c>
      <c r="F763" t="s">
        <v>24</v>
      </c>
      <c r="G763" t="s">
        <v>54</v>
      </c>
      <c r="H763" t="s">
        <v>175</v>
      </c>
      <c r="I763" t="s">
        <v>176</v>
      </c>
      <c r="J763" t="s">
        <v>74</v>
      </c>
      <c r="K763" t="s">
        <v>274</v>
      </c>
      <c r="L763" t="s">
        <v>2362</v>
      </c>
      <c r="M763" t="s">
        <v>50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32</v>
      </c>
      <c r="U763" t="s">
        <v>33</v>
      </c>
      <c r="V763" t="s">
        <v>2834</v>
      </c>
      <c r="W763" t="s">
        <v>2834</v>
      </c>
      <c r="X763" t="s">
        <v>2834</v>
      </c>
      <c r="Y763" t="s">
        <v>2834</v>
      </c>
      <c r="Z763">
        <v>4</v>
      </c>
      <c r="AA763" t="s">
        <v>2789</v>
      </c>
      <c r="AB763">
        <v>0</v>
      </c>
      <c r="AC763" t="s">
        <v>2794</v>
      </c>
      <c r="AD763">
        <v>7467.36</v>
      </c>
      <c r="AE763">
        <v>2456.75</v>
      </c>
      <c r="AF763">
        <v>0.32899846799940008</v>
      </c>
      <c r="AG763" t="s">
        <v>2827</v>
      </c>
      <c r="AH763">
        <v>2025</v>
      </c>
      <c r="AI763" t="s">
        <v>2835</v>
      </c>
    </row>
    <row r="764" spans="1:35">
      <c r="A764" t="s">
        <v>2363</v>
      </c>
      <c r="B764">
        <v>45292</v>
      </c>
      <c r="C764">
        <v>45296</v>
      </c>
      <c r="D764" t="s">
        <v>2364</v>
      </c>
      <c r="E764" t="s">
        <v>162</v>
      </c>
      <c r="F764" t="s">
        <v>90</v>
      </c>
      <c r="G764" t="s">
        <v>63</v>
      </c>
      <c r="H764" t="s">
        <v>72</v>
      </c>
      <c r="I764" t="s">
        <v>73</v>
      </c>
      <c r="J764" t="s">
        <v>74</v>
      </c>
      <c r="K764" t="s">
        <v>274</v>
      </c>
      <c r="L764" t="s">
        <v>2365</v>
      </c>
      <c r="M764" t="s">
        <v>31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102</v>
      </c>
      <c r="U764" t="s">
        <v>103</v>
      </c>
      <c r="V764" t="s">
        <v>2834</v>
      </c>
      <c r="W764" t="s">
        <v>2834</v>
      </c>
      <c r="X764" t="s">
        <v>2834</v>
      </c>
      <c r="Y764" t="s">
        <v>2834</v>
      </c>
      <c r="Z764">
        <v>4</v>
      </c>
      <c r="AA764" t="s">
        <v>2789</v>
      </c>
      <c r="AB764">
        <v>0.2</v>
      </c>
      <c r="AC764" t="s">
        <v>2794</v>
      </c>
      <c r="AD764">
        <v>5910.5920000000006</v>
      </c>
      <c r="AE764">
        <v>1135.152000000001</v>
      </c>
      <c r="AF764">
        <v>0.19205385856442145</v>
      </c>
      <c r="AG764" t="s">
        <v>2820</v>
      </c>
      <c r="AH764">
        <v>2024</v>
      </c>
      <c r="AI764" t="s">
        <v>2835</v>
      </c>
    </row>
    <row r="765" spans="1:35">
      <c r="A765" t="s">
        <v>2366</v>
      </c>
      <c r="B765">
        <v>45892</v>
      </c>
      <c r="C765">
        <v>45894</v>
      </c>
      <c r="D765" t="s">
        <v>2367</v>
      </c>
      <c r="E765" t="s">
        <v>162</v>
      </c>
      <c r="F765" t="s">
        <v>24</v>
      </c>
      <c r="G765" t="s">
        <v>25</v>
      </c>
      <c r="H765" t="s">
        <v>26</v>
      </c>
      <c r="I765" t="s">
        <v>27</v>
      </c>
      <c r="J765" t="s">
        <v>41</v>
      </c>
      <c r="K765" t="s">
        <v>57</v>
      </c>
      <c r="L765" t="s">
        <v>2368</v>
      </c>
      <c r="M765" t="s">
        <v>44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32</v>
      </c>
      <c r="U765" t="s">
        <v>33</v>
      </c>
      <c r="V765" t="s">
        <v>2834</v>
      </c>
      <c r="W765" t="s">
        <v>2834</v>
      </c>
      <c r="X765" t="s">
        <v>2834</v>
      </c>
      <c r="Y765" t="s">
        <v>2834</v>
      </c>
      <c r="Z765">
        <v>2</v>
      </c>
      <c r="AA765" t="s">
        <v>2789</v>
      </c>
      <c r="AB765">
        <v>0</v>
      </c>
      <c r="AC765" t="s">
        <v>2794</v>
      </c>
      <c r="AD765">
        <v>16454.88</v>
      </c>
      <c r="AE765">
        <v>4373.34</v>
      </c>
      <c r="AF765">
        <v>0.26577769026574488</v>
      </c>
      <c r="AG765" t="s">
        <v>2827</v>
      </c>
      <c r="AH765">
        <v>2025</v>
      </c>
      <c r="AI765" t="s">
        <v>2835</v>
      </c>
    </row>
    <row r="766" spans="1:35">
      <c r="A766" t="s">
        <v>2369</v>
      </c>
      <c r="B766">
        <v>45760</v>
      </c>
      <c r="C766">
        <v>45760</v>
      </c>
      <c r="D766" t="s">
        <v>886</v>
      </c>
      <c r="E766" t="s">
        <v>114</v>
      </c>
      <c r="F766" t="s">
        <v>90</v>
      </c>
      <c r="G766" t="s">
        <v>54</v>
      </c>
      <c r="H766" t="s">
        <v>185</v>
      </c>
      <c r="I766" t="s">
        <v>186</v>
      </c>
      <c r="J766" t="s">
        <v>41</v>
      </c>
      <c r="K766" t="s">
        <v>158</v>
      </c>
      <c r="L766" t="s">
        <v>2370</v>
      </c>
      <c r="M766" t="s">
        <v>50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32</v>
      </c>
      <c r="U766" t="s">
        <v>33</v>
      </c>
      <c r="V766" t="s">
        <v>2834</v>
      </c>
      <c r="W766" t="s">
        <v>2834</v>
      </c>
      <c r="X766" t="s">
        <v>2834</v>
      </c>
      <c r="Y766" t="s">
        <v>2834</v>
      </c>
      <c r="Z766">
        <v>0</v>
      </c>
      <c r="AA766" t="s">
        <v>2789</v>
      </c>
      <c r="AB766">
        <v>0.05</v>
      </c>
      <c r="AC766" t="s">
        <v>2794</v>
      </c>
      <c r="AD766">
        <v>25159.8</v>
      </c>
      <c r="AE766">
        <v>3552.9699999999975</v>
      </c>
      <c r="AF766">
        <v>0.14121614639226057</v>
      </c>
      <c r="AG766" t="s">
        <v>2823</v>
      </c>
      <c r="AH766">
        <v>2025</v>
      </c>
      <c r="AI766" t="s">
        <v>2835</v>
      </c>
    </row>
    <row r="767" spans="1:35">
      <c r="A767" t="s">
        <v>2371</v>
      </c>
      <c r="B767">
        <v>45837</v>
      </c>
      <c r="C767">
        <v>45841</v>
      </c>
      <c r="D767" t="s">
        <v>2372</v>
      </c>
      <c r="E767" t="s">
        <v>71</v>
      </c>
      <c r="F767" t="s">
        <v>90</v>
      </c>
      <c r="G767" t="s">
        <v>38</v>
      </c>
      <c r="H767" t="s">
        <v>228</v>
      </c>
      <c r="I767" t="s">
        <v>229</v>
      </c>
      <c r="J767" t="s">
        <v>28</v>
      </c>
      <c r="K767" t="s">
        <v>91</v>
      </c>
      <c r="L767" t="s">
        <v>2373</v>
      </c>
      <c r="M767" t="s">
        <v>50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32</v>
      </c>
      <c r="U767" t="s">
        <v>33</v>
      </c>
      <c r="V767" t="s">
        <v>2834</v>
      </c>
      <c r="W767" t="s">
        <v>2834</v>
      </c>
      <c r="X767" t="s">
        <v>2834</v>
      </c>
      <c r="Y767" t="s">
        <v>2834</v>
      </c>
      <c r="Z767">
        <v>4</v>
      </c>
      <c r="AA767" t="s">
        <v>2789</v>
      </c>
      <c r="AB767">
        <v>0</v>
      </c>
      <c r="AC767" t="s">
        <v>2794</v>
      </c>
      <c r="AD767">
        <v>1824.42</v>
      </c>
      <c r="AE767">
        <v>609.55000000000018</v>
      </c>
      <c r="AF767">
        <v>0.33410618169061956</v>
      </c>
      <c r="AG767" t="s">
        <v>2825</v>
      </c>
      <c r="AH767">
        <v>2025</v>
      </c>
      <c r="AI767" t="s">
        <v>2835</v>
      </c>
    </row>
    <row r="768" spans="1:35">
      <c r="A768" t="s">
        <v>2374</v>
      </c>
      <c r="B768">
        <v>45552</v>
      </c>
      <c r="C768">
        <v>45559</v>
      </c>
      <c r="D768" t="s">
        <v>2375</v>
      </c>
      <c r="E768" t="s">
        <v>36</v>
      </c>
      <c r="F768" t="s">
        <v>90</v>
      </c>
      <c r="G768" t="s">
        <v>63</v>
      </c>
      <c r="H768" t="s">
        <v>180</v>
      </c>
      <c r="I768" t="s">
        <v>181</v>
      </c>
      <c r="J768" t="s">
        <v>28</v>
      </c>
      <c r="K768" t="s">
        <v>48</v>
      </c>
      <c r="L768" t="s">
        <v>2376</v>
      </c>
      <c r="M768" t="s">
        <v>31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32</v>
      </c>
      <c r="U768" t="s">
        <v>68</v>
      </c>
      <c r="V768" t="s">
        <v>2834</v>
      </c>
      <c r="W768" t="s">
        <v>2834</v>
      </c>
      <c r="X768" t="s">
        <v>2834</v>
      </c>
      <c r="Y768" t="s">
        <v>2834</v>
      </c>
      <c r="Z768">
        <v>7</v>
      </c>
      <c r="AA768" t="s">
        <v>2789</v>
      </c>
      <c r="AB768">
        <v>0.2</v>
      </c>
      <c r="AC768" t="s">
        <v>2794</v>
      </c>
      <c r="AD768">
        <v>16617.312000000002</v>
      </c>
      <c r="AE768">
        <v>7421.5820000000022</v>
      </c>
      <c r="AF768">
        <v>0.44661747940942564</v>
      </c>
      <c r="AG768" t="s">
        <v>2828</v>
      </c>
      <c r="AH768">
        <v>2024</v>
      </c>
      <c r="AI768" t="s">
        <v>2835</v>
      </c>
    </row>
    <row r="769" spans="1:35">
      <c r="A769" t="s">
        <v>2377</v>
      </c>
      <c r="B769">
        <v>45415</v>
      </c>
      <c r="C769">
        <v>45418</v>
      </c>
      <c r="D769" t="s">
        <v>2378</v>
      </c>
      <c r="E769" t="s">
        <v>62</v>
      </c>
      <c r="F769" t="s">
        <v>95</v>
      </c>
      <c r="G769" t="s">
        <v>25</v>
      </c>
      <c r="H769" t="s">
        <v>136</v>
      </c>
      <c r="I769" t="s">
        <v>137</v>
      </c>
      <c r="J769" t="s">
        <v>28</v>
      </c>
      <c r="K769" t="s">
        <v>153</v>
      </c>
      <c r="L769" t="s">
        <v>2379</v>
      </c>
      <c r="M769" t="s">
        <v>59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32</v>
      </c>
      <c r="U769" t="s">
        <v>33</v>
      </c>
      <c r="V769" t="s">
        <v>2834</v>
      </c>
      <c r="W769" t="s">
        <v>2834</v>
      </c>
      <c r="X769" t="s">
        <v>2834</v>
      </c>
      <c r="Y769" t="s">
        <v>2834</v>
      </c>
      <c r="Z769">
        <v>3</v>
      </c>
      <c r="AA769" t="s">
        <v>2789</v>
      </c>
      <c r="AB769">
        <v>0.25</v>
      </c>
      <c r="AC769" t="s">
        <v>2794</v>
      </c>
      <c r="AD769">
        <v>933.43499999999995</v>
      </c>
      <c r="AE769">
        <v>350.34499999999991</v>
      </c>
      <c r="AF769">
        <v>0.3753287588316272</v>
      </c>
      <c r="AG769" t="s">
        <v>2824</v>
      </c>
      <c r="AH769">
        <v>2024</v>
      </c>
      <c r="AI769" t="s">
        <v>2835</v>
      </c>
    </row>
    <row r="770" spans="1:35">
      <c r="A770" t="s">
        <v>2380</v>
      </c>
      <c r="B770">
        <v>45749</v>
      </c>
      <c r="C770">
        <v>45751</v>
      </c>
      <c r="D770" t="s">
        <v>2381</v>
      </c>
      <c r="E770" t="s">
        <v>132</v>
      </c>
      <c r="F770" t="s">
        <v>95</v>
      </c>
      <c r="G770" t="s">
        <v>38</v>
      </c>
      <c r="H770" t="s">
        <v>228</v>
      </c>
      <c r="I770" t="s">
        <v>229</v>
      </c>
      <c r="J770" t="s">
        <v>28</v>
      </c>
      <c r="K770" t="s">
        <v>29</v>
      </c>
      <c r="L770" t="s">
        <v>2382</v>
      </c>
      <c r="M770" t="s">
        <v>44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32</v>
      </c>
      <c r="U770" t="s">
        <v>33</v>
      </c>
      <c r="V770" t="s">
        <v>2834</v>
      </c>
      <c r="W770" t="s">
        <v>2834</v>
      </c>
      <c r="X770" t="s">
        <v>2834</v>
      </c>
      <c r="Y770" t="s">
        <v>2834</v>
      </c>
      <c r="Z770">
        <v>2</v>
      </c>
      <c r="AA770" t="s">
        <v>2789</v>
      </c>
      <c r="AB770">
        <v>0.1</v>
      </c>
      <c r="AC770" t="s">
        <v>2794</v>
      </c>
      <c r="AD770">
        <v>14554.08</v>
      </c>
      <c r="AE770">
        <v>3387.24</v>
      </c>
      <c r="AF770">
        <v>0.23273473830018798</v>
      </c>
      <c r="AG770" t="s">
        <v>2823</v>
      </c>
      <c r="AH770">
        <v>2025</v>
      </c>
      <c r="AI770" t="s">
        <v>2835</v>
      </c>
    </row>
    <row r="771" spans="1:35">
      <c r="A771" t="s">
        <v>2383</v>
      </c>
      <c r="B771">
        <v>45423</v>
      </c>
      <c r="C771">
        <v>45425</v>
      </c>
      <c r="D771" t="s">
        <v>2384</v>
      </c>
      <c r="E771" t="s">
        <v>114</v>
      </c>
      <c r="F771" t="s">
        <v>95</v>
      </c>
      <c r="G771" t="s">
        <v>63</v>
      </c>
      <c r="H771" t="s">
        <v>190</v>
      </c>
      <c r="I771" t="s">
        <v>191</v>
      </c>
      <c r="J771" t="s">
        <v>41</v>
      </c>
      <c r="K771" t="s">
        <v>158</v>
      </c>
      <c r="L771" t="s">
        <v>2385</v>
      </c>
      <c r="M771" t="s">
        <v>44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32</v>
      </c>
      <c r="U771" t="s">
        <v>33</v>
      </c>
      <c r="V771" t="s">
        <v>2834</v>
      </c>
      <c r="W771" t="s">
        <v>2834</v>
      </c>
      <c r="X771" t="s">
        <v>2834</v>
      </c>
      <c r="Y771" t="s">
        <v>2834</v>
      </c>
      <c r="Z771">
        <v>2</v>
      </c>
      <c r="AA771" t="s">
        <v>2789</v>
      </c>
      <c r="AB771">
        <v>0.25</v>
      </c>
      <c r="AC771" t="s">
        <v>2794</v>
      </c>
      <c r="AD771">
        <v>8128.6875</v>
      </c>
      <c r="AE771">
        <v>3057.0275000000001</v>
      </c>
      <c r="AF771">
        <v>0.3760788565189645</v>
      </c>
      <c r="AG771" t="s">
        <v>2824</v>
      </c>
      <c r="AH771">
        <v>2024</v>
      </c>
      <c r="AI771" t="s">
        <v>2835</v>
      </c>
    </row>
    <row r="772" spans="1:35">
      <c r="A772" t="s">
        <v>2386</v>
      </c>
      <c r="B772">
        <v>45337</v>
      </c>
      <c r="C772">
        <v>45339</v>
      </c>
      <c r="D772" t="s">
        <v>2387</v>
      </c>
      <c r="E772" t="s">
        <v>79</v>
      </c>
      <c r="F772" t="s">
        <v>24</v>
      </c>
      <c r="G772" t="s">
        <v>25</v>
      </c>
      <c r="H772" t="s">
        <v>136</v>
      </c>
      <c r="I772" t="s">
        <v>137</v>
      </c>
      <c r="J772" t="s">
        <v>74</v>
      </c>
      <c r="K772" t="s">
        <v>80</v>
      </c>
      <c r="L772" t="s">
        <v>2388</v>
      </c>
      <c r="M772" t="s">
        <v>50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32</v>
      </c>
      <c r="U772" t="s">
        <v>33</v>
      </c>
      <c r="V772" t="s">
        <v>2834</v>
      </c>
      <c r="W772" t="s">
        <v>2834</v>
      </c>
      <c r="X772" t="s">
        <v>2834</v>
      </c>
      <c r="Y772" t="s">
        <v>2834</v>
      </c>
      <c r="Z772">
        <v>2</v>
      </c>
      <c r="AA772" t="s">
        <v>2789</v>
      </c>
      <c r="AB772">
        <v>0</v>
      </c>
      <c r="AC772" t="s">
        <v>2796</v>
      </c>
      <c r="AD772">
        <v>3452</v>
      </c>
      <c r="AE772">
        <v>1075.3800000000001</v>
      </c>
      <c r="AF772">
        <v>0.3115237543453071</v>
      </c>
      <c r="AG772" t="s">
        <v>2821</v>
      </c>
      <c r="AH772">
        <v>2024</v>
      </c>
      <c r="AI772" t="s">
        <v>2838</v>
      </c>
    </row>
    <row r="773" spans="1:35">
      <c r="A773" t="s">
        <v>2389</v>
      </c>
      <c r="B773">
        <v>45485</v>
      </c>
      <c r="C773">
        <v>45487</v>
      </c>
      <c r="D773" t="s">
        <v>468</v>
      </c>
      <c r="E773" t="s">
        <v>62</v>
      </c>
      <c r="F773" t="s">
        <v>24</v>
      </c>
      <c r="G773" t="s">
        <v>25</v>
      </c>
      <c r="H773" t="s">
        <v>236</v>
      </c>
      <c r="I773" t="s">
        <v>237</v>
      </c>
      <c r="J773" t="s">
        <v>74</v>
      </c>
      <c r="K773" t="s">
        <v>274</v>
      </c>
      <c r="L773" t="s">
        <v>2390</v>
      </c>
      <c r="M773" t="s">
        <v>31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32</v>
      </c>
      <c r="U773" t="s">
        <v>33</v>
      </c>
      <c r="V773" t="s">
        <v>2834</v>
      </c>
      <c r="W773" t="s">
        <v>2834</v>
      </c>
      <c r="X773" t="s">
        <v>2834</v>
      </c>
      <c r="Y773" t="s">
        <v>2834</v>
      </c>
      <c r="Z773">
        <v>2</v>
      </c>
      <c r="AA773" t="s">
        <v>2789</v>
      </c>
      <c r="AB773">
        <v>0</v>
      </c>
      <c r="AC773" t="s">
        <v>2796</v>
      </c>
      <c r="AD773">
        <v>8525.64</v>
      </c>
      <c r="AE773">
        <v>5004.9499999999989</v>
      </c>
      <c r="AF773">
        <v>0.58704683753946907</v>
      </c>
      <c r="AG773" t="s">
        <v>2826</v>
      </c>
      <c r="AH773">
        <v>2024</v>
      </c>
      <c r="AI773" t="s">
        <v>2838</v>
      </c>
    </row>
    <row r="774" spans="1:35">
      <c r="A774" t="s">
        <v>2391</v>
      </c>
      <c r="B774">
        <v>45853</v>
      </c>
      <c r="C774">
        <v>45857</v>
      </c>
      <c r="D774" t="s">
        <v>2392</v>
      </c>
      <c r="E774" t="s">
        <v>162</v>
      </c>
      <c r="F774" t="s">
        <v>24</v>
      </c>
      <c r="G774" t="s">
        <v>54</v>
      </c>
      <c r="H774" t="s">
        <v>247</v>
      </c>
      <c r="I774" t="s">
        <v>248</v>
      </c>
      <c r="J774" t="s">
        <v>41</v>
      </c>
      <c r="K774" t="s">
        <v>66</v>
      </c>
      <c r="L774" t="s">
        <v>2393</v>
      </c>
      <c r="M774" t="s">
        <v>44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111</v>
      </c>
      <c r="U774" t="s">
        <v>68</v>
      </c>
      <c r="V774" t="s">
        <v>2834</v>
      </c>
      <c r="W774" t="s">
        <v>2834</v>
      </c>
      <c r="X774" t="s">
        <v>2834</v>
      </c>
      <c r="Y774" t="s">
        <v>2834</v>
      </c>
      <c r="Z774">
        <v>4</v>
      </c>
      <c r="AA774" t="s">
        <v>2789</v>
      </c>
      <c r="AB774">
        <v>0.05</v>
      </c>
      <c r="AC774" t="s">
        <v>2794</v>
      </c>
      <c r="AD774">
        <v>3708.0589999999997</v>
      </c>
      <c r="AE774">
        <v>947.76899999999978</v>
      </c>
      <c r="AF774">
        <v>0.25559706574248142</v>
      </c>
      <c r="AG774" t="s">
        <v>2826</v>
      </c>
      <c r="AH774">
        <v>2025</v>
      </c>
      <c r="AI774" t="s">
        <v>2835</v>
      </c>
    </row>
    <row r="775" spans="1:35">
      <c r="A775" t="s">
        <v>2394</v>
      </c>
      <c r="B775">
        <v>45709</v>
      </c>
      <c r="C775">
        <v>45709</v>
      </c>
      <c r="D775" t="s">
        <v>2395</v>
      </c>
      <c r="E775" t="s">
        <v>23</v>
      </c>
      <c r="F775" t="s">
        <v>95</v>
      </c>
      <c r="G775" t="s">
        <v>63</v>
      </c>
      <c r="H775" t="s">
        <v>180</v>
      </c>
      <c r="I775" t="s">
        <v>181</v>
      </c>
      <c r="J775" t="s">
        <v>74</v>
      </c>
      <c r="K775" t="s">
        <v>171</v>
      </c>
      <c r="L775" t="s">
        <v>2396</v>
      </c>
      <c r="M775" t="s">
        <v>2791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32</v>
      </c>
      <c r="U775" t="s">
        <v>33</v>
      </c>
      <c r="V775" t="s">
        <v>2834</v>
      </c>
      <c r="W775" t="s">
        <v>2834</v>
      </c>
      <c r="X775" t="s">
        <v>2834</v>
      </c>
      <c r="Y775" t="s">
        <v>2834</v>
      </c>
      <c r="Z775">
        <v>0</v>
      </c>
      <c r="AA775" t="s">
        <v>2789</v>
      </c>
      <c r="AB775">
        <v>0.2</v>
      </c>
      <c r="AC775" t="s">
        <v>2794</v>
      </c>
      <c r="AD775">
        <v>9424.2240000000002</v>
      </c>
      <c r="AE775">
        <v>3245.3040000000001</v>
      </c>
      <c r="AF775">
        <v>0.3443576892909167</v>
      </c>
      <c r="AG775" t="s">
        <v>2821</v>
      </c>
      <c r="AH775">
        <v>2025</v>
      </c>
      <c r="AI775" t="s">
        <v>2838</v>
      </c>
    </row>
    <row r="776" spans="1:35">
      <c r="A776" t="s">
        <v>2397</v>
      </c>
      <c r="B776">
        <v>45876</v>
      </c>
      <c r="C776">
        <v>45876</v>
      </c>
      <c r="D776" t="s">
        <v>2398</v>
      </c>
      <c r="E776" t="s">
        <v>264</v>
      </c>
      <c r="F776" t="s">
        <v>24</v>
      </c>
      <c r="G776" t="s">
        <v>63</v>
      </c>
      <c r="H776" t="s">
        <v>26</v>
      </c>
      <c r="I776" t="s">
        <v>109</v>
      </c>
      <c r="J776" t="s">
        <v>74</v>
      </c>
      <c r="K776" t="s">
        <v>274</v>
      </c>
      <c r="L776" t="s">
        <v>2399</v>
      </c>
      <c r="M776" t="s">
        <v>2791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32</v>
      </c>
      <c r="U776" t="s">
        <v>33</v>
      </c>
      <c r="V776" t="s">
        <v>2834</v>
      </c>
      <c r="W776" t="s">
        <v>2834</v>
      </c>
      <c r="X776" t="s">
        <v>2834</v>
      </c>
      <c r="Y776" t="s">
        <v>2834</v>
      </c>
      <c r="Z776">
        <v>0</v>
      </c>
      <c r="AA776" t="s">
        <v>2789</v>
      </c>
      <c r="AB776">
        <v>0.2</v>
      </c>
      <c r="AC776" t="s">
        <v>2794</v>
      </c>
      <c r="AD776">
        <v>7752.6</v>
      </c>
      <c r="AE776">
        <v>3063.3</v>
      </c>
      <c r="AF776">
        <v>0.39513195573098059</v>
      </c>
      <c r="AG776" t="s">
        <v>2827</v>
      </c>
      <c r="AH776">
        <v>2025</v>
      </c>
      <c r="AI776" t="s">
        <v>2838</v>
      </c>
    </row>
    <row r="777" spans="1:35">
      <c r="A777" t="s">
        <v>2400</v>
      </c>
      <c r="B777">
        <v>45396</v>
      </c>
      <c r="C777">
        <v>45404</v>
      </c>
      <c r="D777" t="s">
        <v>2401</v>
      </c>
      <c r="E777" t="s">
        <v>53</v>
      </c>
      <c r="F777" t="s">
        <v>24</v>
      </c>
      <c r="G777" t="s">
        <v>25</v>
      </c>
      <c r="H777" t="s">
        <v>236</v>
      </c>
      <c r="I777" t="s">
        <v>237</v>
      </c>
      <c r="J777" t="s">
        <v>74</v>
      </c>
      <c r="K777" t="s">
        <v>75</v>
      </c>
      <c r="L777" t="s">
        <v>2402</v>
      </c>
      <c r="M777" t="s">
        <v>59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32</v>
      </c>
      <c r="U777" t="s">
        <v>33</v>
      </c>
      <c r="V777" t="s">
        <v>2834</v>
      </c>
      <c r="W777" t="s">
        <v>2834</v>
      </c>
      <c r="X777" t="s">
        <v>2834</v>
      </c>
      <c r="Y777" t="s">
        <v>2834</v>
      </c>
      <c r="Z777">
        <v>8</v>
      </c>
      <c r="AA777" t="s">
        <v>2789</v>
      </c>
      <c r="AB777">
        <v>0.25</v>
      </c>
      <c r="AC777" t="s">
        <v>2794</v>
      </c>
      <c r="AD777">
        <v>23736.720000000001</v>
      </c>
      <c r="AE777">
        <v>9845.8200000000015</v>
      </c>
      <c r="AF777">
        <v>0.41479277676106896</v>
      </c>
      <c r="AG777" t="s">
        <v>2823</v>
      </c>
      <c r="AH777">
        <v>2024</v>
      </c>
      <c r="AI777" t="s">
        <v>2835</v>
      </c>
    </row>
    <row r="778" spans="1:35">
      <c r="A778" t="s">
        <v>2403</v>
      </c>
      <c r="B778">
        <v>45816</v>
      </c>
      <c r="C778">
        <v>45821</v>
      </c>
      <c r="D778" t="s">
        <v>2404</v>
      </c>
      <c r="E778" t="s">
        <v>89</v>
      </c>
      <c r="F778" t="s">
        <v>37</v>
      </c>
      <c r="G778" t="s">
        <v>25</v>
      </c>
      <c r="H778" t="s">
        <v>26</v>
      </c>
      <c r="I778" t="s">
        <v>27</v>
      </c>
      <c r="J778" t="s">
        <v>74</v>
      </c>
      <c r="K778" t="s">
        <v>80</v>
      </c>
      <c r="L778" t="s">
        <v>2405</v>
      </c>
      <c r="M778" t="s">
        <v>31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32</v>
      </c>
      <c r="U778" t="s">
        <v>33</v>
      </c>
      <c r="V778" t="s">
        <v>2834</v>
      </c>
      <c r="W778" t="s">
        <v>2834</v>
      </c>
      <c r="X778" t="s">
        <v>2834</v>
      </c>
      <c r="Y778" t="s">
        <v>2834</v>
      </c>
      <c r="Z778">
        <v>5</v>
      </c>
      <c r="AA778" t="s">
        <v>2789</v>
      </c>
      <c r="AB778">
        <v>0</v>
      </c>
      <c r="AC778" t="s">
        <v>2794</v>
      </c>
      <c r="AD778">
        <v>26999.91</v>
      </c>
      <c r="AE778">
        <v>9183.93</v>
      </c>
      <c r="AF778">
        <v>0.34014668937785347</v>
      </c>
      <c r="AG778" t="s">
        <v>2825</v>
      </c>
      <c r="AH778">
        <v>2025</v>
      </c>
      <c r="AI778" t="s">
        <v>2835</v>
      </c>
    </row>
    <row r="779" spans="1:35">
      <c r="A779" t="s">
        <v>2406</v>
      </c>
      <c r="B779">
        <v>45326</v>
      </c>
      <c r="C779">
        <v>45328</v>
      </c>
      <c r="D779" t="s">
        <v>2407</v>
      </c>
      <c r="E779" t="s">
        <v>264</v>
      </c>
      <c r="F779" t="s">
        <v>37</v>
      </c>
      <c r="G779" t="s">
        <v>63</v>
      </c>
      <c r="H779" t="s">
        <v>72</v>
      </c>
      <c r="I779" t="s">
        <v>73</v>
      </c>
      <c r="J779" t="s">
        <v>74</v>
      </c>
      <c r="K779" t="s">
        <v>75</v>
      </c>
      <c r="L779" t="s">
        <v>2408</v>
      </c>
      <c r="M779" t="s">
        <v>31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155</v>
      </c>
      <c r="U779" t="s">
        <v>68</v>
      </c>
      <c r="V779" t="s">
        <v>2834</v>
      </c>
      <c r="W779" t="s">
        <v>2834</v>
      </c>
      <c r="X779" t="s">
        <v>2834</v>
      </c>
      <c r="Y779" t="s">
        <v>2834</v>
      </c>
      <c r="Z779">
        <v>2</v>
      </c>
      <c r="AA779" t="s">
        <v>2789</v>
      </c>
      <c r="AB779">
        <v>0.15</v>
      </c>
      <c r="AC779" t="s">
        <v>2794</v>
      </c>
      <c r="AD779">
        <v>5065.116</v>
      </c>
      <c r="AE779">
        <v>1534.9960000000001</v>
      </c>
      <c r="AF779">
        <v>0.30305248685321323</v>
      </c>
      <c r="AG779" t="s">
        <v>2821</v>
      </c>
      <c r="AH779">
        <v>2024</v>
      </c>
      <c r="AI779" t="s">
        <v>2835</v>
      </c>
    </row>
    <row r="780" spans="1:35">
      <c r="A780" t="s">
        <v>2409</v>
      </c>
      <c r="B780">
        <v>45497</v>
      </c>
      <c r="C780">
        <v>45497</v>
      </c>
      <c r="D780" t="s">
        <v>2410</v>
      </c>
      <c r="E780" t="s">
        <v>23</v>
      </c>
      <c r="F780" t="s">
        <v>37</v>
      </c>
      <c r="G780" t="s">
        <v>25</v>
      </c>
      <c r="H780" t="s">
        <v>236</v>
      </c>
      <c r="I780" t="s">
        <v>237</v>
      </c>
      <c r="J780" t="s">
        <v>74</v>
      </c>
      <c r="K780" t="s">
        <v>80</v>
      </c>
      <c r="L780" t="s">
        <v>2411</v>
      </c>
      <c r="M780" t="s">
        <v>31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32</v>
      </c>
      <c r="U780" t="s">
        <v>33</v>
      </c>
      <c r="V780" t="s">
        <v>2834</v>
      </c>
      <c r="W780" t="s">
        <v>2834</v>
      </c>
      <c r="X780" t="s">
        <v>2834</v>
      </c>
      <c r="Y780" t="s">
        <v>2834</v>
      </c>
      <c r="Z780">
        <v>0</v>
      </c>
      <c r="AA780" t="s">
        <v>2789</v>
      </c>
      <c r="AB780">
        <v>0</v>
      </c>
      <c r="AC780" t="s">
        <v>2794</v>
      </c>
      <c r="AD780">
        <v>6707.52</v>
      </c>
      <c r="AE780">
        <v>1034.9500000000007</v>
      </c>
      <c r="AF780">
        <v>0.15429696817899918</v>
      </c>
      <c r="AG780" t="s">
        <v>2826</v>
      </c>
      <c r="AH780">
        <v>2024</v>
      </c>
      <c r="AI780" t="s">
        <v>2835</v>
      </c>
    </row>
    <row r="781" spans="1:35">
      <c r="A781" t="s">
        <v>2412</v>
      </c>
      <c r="B781">
        <v>45306</v>
      </c>
      <c r="C781">
        <v>45311</v>
      </c>
      <c r="D781" t="s">
        <v>2413</v>
      </c>
      <c r="E781" t="s">
        <v>114</v>
      </c>
      <c r="F781" t="s">
        <v>37</v>
      </c>
      <c r="G781" t="s">
        <v>54</v>
      </c>
      <c r="H781" t="s">
        <v>84</v>
      </c>
      <c r="I781" t="s">
        <v>85</v>
      </c>
      <c r="J781" t="s">
        <v>41</v>
      </c>
      <c r="K781" t="s">
        <v>66</v>
      </c>
      <c r="L781" t="s">
        <v>2414</v>
      </c>
      <c r="M781" t="s">
        <v>59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32</v>
      </c>
      <c r="U781" t="s">
        <v>33</v>
      </c>
      <c r="V781" t="s">
        <v>2834</v>
      </c>
      <c r="W781" t="s">
        <v>2834</v>
      </c>
      <c r="X781" t="s">
        <v>2834</v>
      </c>
      <c r="Y781" t="s">
        <v>2834</v>
      </c>
      <c r="Z781">
        <v>5</v>
      </c>
      <c r="AA781" t="s">
        <v>2789</v>
      </c>
      <c r="AB781">
        <v>0.05</v>
      </c>
      <c r="AC781" t="s">
        <v>2794</v>
      </c>
      <c r="AD781">
        <v>11983.451999999999</v>
      </c>
      <c r="AE781">
        <v>3410.5519999999997</v>
      </c>
      <c r="AF781">
        <v>0.2846051371507976</v>
      </c>
      <c r="AG781" t="s">
        <v>2820</v>
      </c>
      <c r="AH781">
        <v>2024</v>
      </c>
      <c r="AI781" t="s">
        <v>2835</v>
      </c>
    </row>
    <row r="782" spans="1:35">
      <c r="A782" t="s">
        <v>2415</v>
      </c>
      <c r="B782">
        <v>45508</v>
      </c>
      <c r="C782">
        <v>45514</v>
      </c>
      <c r="D782" t="s">
        <v>2416</v>
      </c>
      <c r="E782" t="s">
        <v>162</v>
      </c>
      <c r="F782" t="s">
        <v>37</v>
      </c>
      <c r="G782" t="s">
        <v>63</v>
      </c>
      <c r="H782" t="s">
        <v>26</v>
      </c>
      <c r="I782" t="s">
        <v>109</v>
      </c>
      <c r="J782" t="s">
        <v>41</v>
      </c>
      <c r="K782" t="s">
        <v>66</v>
      </c>
      <c r="L782" t="s">
        <v>2417</v>
      </c>
      <c r="M782" t="s">
        <v>44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32</v>
      </c>
      <c r="U782" t="s">
        <v>33</v>
      </c>
      <c r="V782" t="s">
        <v>2834</v>
      </c>
      <c r="W782" t="s">
        <v>2834</v>
      </c>
      <c r="X782" t="s">
        <v>2834</v>
      </c>
      <c r="Y782" t="s">
        <v>2834</v>
      </c>
      <c r="Z782">
        <v>6</v>
      </c>
      <c r="AA782" t="s">
        <v>2789</v>
      </c>
      <c r="AB782">
        <v>0.2</v>
      </c>
      <c r="AC782" t="s">
        <v>2794</v>
      </c>
      <c r="AD782">
        <v>1364.576</v>
      </c>
      <c r="AE782">
        <v>386.41600000000005</v>
      </c>
      <c r="AF782">
        <v>0.28317660577351506</v>
      </c>
      <c r="AG782" t="s">
        <v>2827</v>
      </c>
      <c r="AH782">
        <v>2024</v>
      </c>
      <c r="AI782" t="s">
        <v>2835</v>
      </c>
    </row>
    <row r="783" spans="1:35">
      <c r="A783" t="s">
        <v>2418</v>
      </c>
      <c r="B783">
        <v>45324</v>
      </c>
      <c r="C783">
        <v>45332</v>
      </c>
      <c r="D783" t="s">
        <v>2419</v>
      </c>
      <c r="E783" t="s">
        <v>23</v>
      </c>
      <c r="F783" t="s">
        <v>95</v>
      </c>
      <c r="G783" t="s">
        <v>63</v>
      </c>
      <c r="H783" t="s">
        <v>26</v>
      </c>
      <c r="I783" t="s">
        <v>109</v>
      </c>
      <c r="J783" t="s">
        <v>28</v>
      </c>
      <c r="K783" t="s">
        <v>91</v>
      </c>
      <c r="L783" t="s">
        <v>2420</v>
      </c>
      <c r="M783" t="s">
        <v>50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111</v>
      </c>
      <c r="U783" t="s">
        <v>103</v>
      </c>
      <c r="V783" t="s">
        <v>2834</v>
      </c>
      <c r="W783" t="s">
        <v>2834</v>
      </c>
      <c r="X783" t="s">
        <v>2834</v>
      </c>
      <c r="Y783" t="s">
        <v>2834</v>
      </c>
      <c r="Z783">
        <v>8</v>
      </c>
      <c r="AA783" t="s">
        <v>2789</v>
      </c>
      <c r="AB783">
        <v>0.25</v>
      </c>
      <c r="AC783" t="s">
        <v>2794</v>
      </c>
      <c r="AD783">
        <v>862.64999999999986</v>
      </c>
      <c r="AE783">
        <v>258.91999999999985</v>
      </c>
      <c r="AF783">
        <v>0.30014490233582553</v>
      </c>
      <c r="AG783" t="s">
        <v>2821</v>
      </c>
      <c r="AH783">
        <v>2024</v>
      </c>
      <c r="AI783" t="s">
        <v>2835</v>
      </c>
    </row>
    <row r="784" spans="1:35">
      <c r="A784" t="s">
        <v>2421</v>
      </c>
      <c r="B784">
        <v>45730</v>
      </c>
      <c r="C784">
        <v>45738</v>
      </c>
      <c r="D784" t="s">
        <v>2422</v>
      </c>
      <c r="E784" t="s">
        <v>36</v>
      </c>
      <c r="F784" t="s">
        <v>90</v>
      </c>
      <c r="G784" t="s">
        <v>38</v>
      </c>
      <c r="H784" t="s">
        <v>99</v>
      </c>
      <c r="I784" t="s">
        <v>100</v>
      </c>
      <c r="J784" t="s">
        <v>74</v>
      </c>
      <c r="K784" t="s">
        <v>80</v>
      </c>
      <c r="L784" t="s">
        <v>2423</v>
      </c>
      <c r="M784" t="s">
        <v>59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32</v>
      </c>
      <c r="U784" t="s">
        <v>33</v>
      </c>
      <c r="V784" t="s">
        <v>2834</v>
      </c>
      <c r="W784" t="s">
        <v>2834</v>
      </c>
      <c r="X784" t="s">
        <v>2834</v>
      </c>
      <c r="Y784" t="s">
        <v>2834</v>
      </c>
      <c r="Z784">
        <v>8</v>
      </c>
      <c r="AA784" t="s">
        <v>2789</v>
      </c>
      <c r="AB784">
        <v>0.15</v>
      </c>
      <c r="AC784" t="s">
        <v>2794</v>
      </c>
      <c r="AD784">
        <v>1138.3709999999999</v>
      </c>
      <c r="AE784">
        <v>341.03099999999984</v>
      </c>
      <c r="AF784">
        <v>0.29957808131092578</v>
      </c>
      <c r="AG784" t="s">
        <v>2822</v>
      </c>
      <c r="AH784">
        <v>2025</v>
      </c>
      <c r="AI784" t="s">
        <v>2835</v>
      </c>
    </row>
    <row r="785" spans="1:35">
      <c r="A785" t="s">
        <v>2424</v>
      </c>
      <c r="B785">
        <v>45450</v>
      </c>
      <c r="C785">
        <v>45450</v>
      </c>
      <c r="D785" t="s">
        <v>2425</v>
      </c>
      <c r="E785" t="s">
        <v>128</v>
      </c>
      <c r="F785" t="s">
        <v>37</v>
      </c>
      <c r="G785" t="s">
        <v>38</v>
      </c>
      <c r="H785" t="s">
        <v>145</v>
      </c>
      <c r="I785" t="s">
        <v>146</v>
      </c>
      <c r="J785" t="s">
        <v>28</v>
      </c>
      <c r="K785" t="s">
        <v>48</v>
      </c>
      <c r="L785" t="s">
        <v>2426</v>
      </c>
      <c r="M785" t="s">
        <v>31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32</v>
      </c>
      <c r="U785" t="s">
        <v>33</v>
      </c>
      <c r="V785" t="s">
        <v>2834</v>
      </c>
      <c r="W785" t="s">
        <v>2834</v>
      </c>
      <c r="X785" t="s">
        <v>2834</v>
      </c>
      <c r="Y785" t="s">
        <v>2834</v>
      </c>
      <c r="Z785">
        <v>0</v>
      </c>
      <c r="AA785" t="s">
        <v>2789</v>
      </c>
      <c r="AB785">
        <v>0.05</v>
      </c>
      <c r="AC785" t="s">
        <v>2794</v>
      </c>
      <c r="AD785">
        <v>2452.8334999999997</v>
      </c>
      <c r="AE785">
        <v>546.13349999999969</v>
      </c>
      <c r="AF785">
        <v>0.22265412634000625</v>
      </c>
      <c r="AG785" t="s">
        <v>2825</v>
      </c>
      <c r="AH785">
        <v>2024</v>
      </c>
      <c r="AI785" t="s">
        <v>2835</v>
      </c>
    </row>
    <row r="786" spans="1:35">
      <c r="A786" t="s">
        <v>2427</v>
      </c>
      <c r="B786">
        <v>45934</v>
      </c>
      <c r="C786">
        <v>45935</v>
      </c>
      <c r="D786" t="s">
        <v>2428</v>
      </c>
      <c r="E786" t="s">
        <v>114</v>
      </c>
      <c r="F786" t="s">
        <v>90</v>
      </c>
      <c r="G786" t="s">
        <v>25</v>
      </c>
      <c r="H786" t="s">
        <v>122</v>
      </c>
      <c r="I786" t="s">
        <v>123</v>
      </c>
      <c r="J786" t="s">
        <v>74</v>
      </c>
      <c r="K786" t="s">
        <v>80</v>
      </c>
      <c r="L786" t="s">
        <v>2429</v>
      </c>
      <c r="M786" t="s">
        <v>50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32</v>
      </c>
      <c r="U786" t="s">
        <v>33</v>
      </c>
      <c r="V786" t="s">
        <v>2834</v>
      </c>
      <c r="W786" t="s">
        <v>2834</v>
      </c>
      <c r="X786" t="s">
        <v>2834</v>
      </c>
      <c r="Y786" t="s">
        <v>2834</v>
      </c>
      <c r="Z786">
        <v>1</v>
      </c>
      <c r="AA786" t="s">
        <v>2789</v>
      </c>
      <c r="AB786">
        <v>0.05</v>
      </c>
      <c r="AC786" t="s">
        <v>2794</v>
      </c>
      <c r="AD786">
        <v>1589.0840000000001</v>
      </c>
      <c r="AE786">
        <v>504.42399999999998</v>
      </c>
      <c r="AF786">
        <v>0.31743067075120002</v>
      </c>
      <c r="AG786" t="s">
        <v>2829</v>
      </c>
      <c r="AH786">
        <v>2025</v>
      </c>
      <c r="AI786" t="s">
        <v>2835</v>
      </c>
    </row>
    <row r="787" spans="1:35">
      <c r="A787" t="s">
        <v>2430</v>
      </c>
      <c r="B787">
        <v>45435</v>
      </c>
      <c r="C787">
        <v>45441</v>
      </c>
      <c r="D787" t="s">
        <v>2431</v>
      </c>
      <c r="E787" t="s">
        <v>162</v>
      </c>
      <c r="F787" t="s">
        <v>37</v>
      </c>
      <c r="G787" t="s">
        <v>25</v>
      </c>
      <c r="H787" t="s">
        <v>236</v>
      </c>
      <c r="I787" t="s">
        <v>237</v>
      </c>
      <c r="J787" t="s">
        <v>28</v>
      </c>
      <c r="K787" t="s">
        <v>124</v>
      </c>
      <c r="L787" t="s">
        <v>2432</v>
      </c>
      <c r="M787" t="s">
        <v>44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155</v>
      </c>
      <c r="U787" t="s">
        <v>68</v>
      </c>
      <c r="V787" t="s">
        <v>2834</v>
      </c>
      <c r="W787" t="s">
        <v>2834</v>
      </c>
      <c r="X787" t="s">
        <v>2834</v>
      </c>
      <c r="Y787" t="s">
        <v>2834</v>
      </c>
      <c r="Z787">
        <v>6</v>
      </c>
      <c r="AA787" t="s">
        <v>2789</v>
      </c>
      <c r="AB787">
        <v>0.25</v>
      </c>
      <c r="AC787" t="s">
        <v>2794</v>
      </c>
      <c r="AD787">
        <v>4519.41</v>
      </c>
      <c r="AE787">
        <v>1015.25</v>
      </c>
      <c r="AF787">
        <v>0.22464215461752751</v>
      </c>
      <c r="AG787" t="s">
        <v>2824</v>
      </c>
      <c r="AH787">
        <v>2024</v>
      </c>
      <c r="AI787" t="s">
        <v>2835</v>
      </c>
    </row>
    <row r="788" spans="1:35">
      <c r="A788" t="s">
        <v>2433</v>
      </c>
      <c r="B788">
        <v>45844</v>
      </c>
      <c r="C788">
        <v>45846</v>
      </c>
      <c r="D788" t="s">
        <v>2434</v>
      </c>
      <c r="E788" t="s">
        <v>62</v>
      </c>
      <c r="F788" t="s">
        <v>90</v>
      </c>
      <c r="G788" t="s">
        <v>25</v>
      </c>
      <c r="H788" t="s">
        <v>26</v>
      </c>
      <c r="I788" t="s">
        <v>27</v>
      </c>
      <c r="J788" t="s">
        <v>41</v>
      </c>
      <c r="K788" t="s">
        <v>57</v>
      </c>
      <c r="L788" t="s">
        <v>2435</v>
      </c>
      <c r="M788" t="s">
        <v>2791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102</v>
      </c>
      <c r="U788" t="s">
        <v>103</v>
      </c>
      <c r="V788" t="s">
        <v>2834</v>
      </c>
      <c r="W788" t="s">
        <v>2834</v>
      </c>
      <c r="X788" t="s">
        <v>2834</v>
      </c>
      <c r="Y788" t="s">
        <v>2834</v>
      </c>
      <c r="Z788">
        <v>2</v>
      </c>
      <c r="AA788" t="s">
        <v>2789</v>
      </c>
      <c r="AB788">
        <v>0.05</v>
      </c>
      <c r="AC788" t="s">
        <v>2794</v>
      </c>
      <c r="AD788">
        <v>2718.71</v>
      </c>
      <c r="AE788">
        <v>653.65999999999985</v>
      </c>
      <c r="AF788">
        <v>0.24043020403058799</v>
      </c>
      <c r="AG788" t="s">
        <v>2826</v>
      </c>
      <c r="AH788">
        <v>2025</v>
      </c>
      <c r="AI788" t="s">
        <v>2838</v>
      </c>
    </row>
    <row r="789" spans="1:35">
      <c r="A789" t="s">
        <v>2436</v>
      </c>
      <c r="B789">
        <v>45547</v>
      </c>
      <c r="C789">
        <v>45553</v>
      </c>
      <c r="D789" t="s">
        <v>2437</v>
      </c>
      <c r="E789" t="s">
        <v>62</v>
      </c>
      <c r="F789" t="s">
        <v>95</v>
      </c>
      <c r="G789" t="s">
        <v>38</v>
      </c>
      <c r="H789" t="s">
        <v>145</v>
      </c>
      <c r="I789" t="s">
        <v>146</v>
      </c>
      <c r="J789" t="s">
        <v>28</v>
      </c>
      <c r="K789" t="s">
        <v>29</v>
      </c>
      <c r="L789" t="s">
        <v>2438</v>
      </c>
      <c r="M789" t="s">
        <v>31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32</v>
      </c>
      <c r="U789" t="s">
        <v>33</v>
      </c>
      <c r="V789" t="s">
        <v>2834</v>
      </c>
      <c r="W789" t="s">
        <v>2834</v>
      </c>
      <c r="X789" t="s">
        <v>2834</v>
      </c>
      <c r="Y789" t="s">
        <v>2834</v>
      </c>
      <c r="Z789">
        <v>6</v>
      </c>
      <c r="AA789" t="s">
        <v>2789</v>
      </c>
      <c r="AB789">
        <v>0.05</v>
      </c>
      <c r="AC789" t="s">
        <v>2794</v>
      </c>
      <c r="AD789">
        <v>7065.6629999999996</v>
      </c>
      <c r="AE789">
        <v>2150.3929999999991</v>
      </c>
      <c r="AF789">
        <v>0.30434412170521002</v>
      </c>
      <c r="AG789" t="s">
        <v>2828</v>
      </c>
      <c r="AH789">
        <v>2024</v>
      </c>
      <c r="AI789" t="s">
        <v>2835</v>
      </c>
    </row>
    <row r="790" spans="1:35">
      <c r="A790" t="s">
        <v>2439</v>
      </c>
      <c r="B790">
        <v>45505</v>
      </c>
      <c r="C790">
        <v>45506</v>
      </c>
      <c r="D790" t="s">
        <v>2440</v>
      </c>
      <c r="E790" t="s">
        <v>47</v>
      </c>
      <c r="F790" t="s">
        <v>90</v>
      </c>
      <c r="G790" t="s">
        <v>25</v>
      </c>
      <c r="H790" t="s">
        <v>136</v>
      </c>
      <c r="I790" t="s">
        <v>137</v>
      </c>
      <c r="J790" t="s">
        <v>41</v>
      </c>
      <c r="K790" t="s">
        <v>66</v>
      </c>
      <c r="L790" t="s">
        <v>2441</v>
      </c>
      <c r="M790" t="s">
        <v>59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155</v>
      </c>
      <c r="U790" t="s">
        <v>103</v>
      </c>
      <c r="V790" t="s">
        <v>2834</v>
      </c>
      <c r="W790" t="s">
        <v>2834</v>
      </c>
      <c r="X790" t="s">
        <v>2834</v>
      </c>
      <c r="Y790" t="s">
        <v>2834</v>
      </c>
      <c r="Z790">
        <v>1</v>
      </c>
      <c r="AA790" t="s">
        <v>2789</v>
      </c>
      <c r="AB790">
        <v>0.1</v>
      </c>
      <c r="AC790" t="s">
        <v>2794</v>
      </c>
      <c r="AD790">
        <v>17911.007999999998</v>
      </c>
      <c r="AE790">
        <v>6364.9579999999987</v>
      </c>
      <c r="AF790">
        <v>0.35536570582738836</v>
      </c>
      <c r="AG790" t="s">
        <v>2827</v>
      </c>
      <c r="AH790">
        <v>2024</v>
      </c>
      <c r="AI790" t="s">
        <v>2835</v>
      </c>
    </row>
    <row r="791" spans="1:35">
      <c r="A791" t="s">
        <v>2442</v>
      </c>
      <c r="B791">
        <v>45723</v>
      </c>
      <c r="C791">
        <v>45724</v>
      </c>
      <c r="D791" t="s">
        <v>2443</v>
      </c>
      <c r="E791" t="s">
        <v>114</v>
      </c>
      <c r="F791" t="s">
        <v>95</v>
      </c>
      <c r="G791" t="s">
        <v>2791</v>
      </c>
      <c r="H791" t="s">
        <v>26</v>
      </c>
      <c r="I791" t="s">
        <v>109</v>
      </c>
      <c r="J791" t="s">
        <v>74</v>
      </c>
      <c r="K791" t="s">
        <v>80</v>
      </c>
      <c r="L791" t="s">
        <v>2444</v>
      </c>
      <c r="M791" t="s">
        <v>44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32</v>
      </c>
      <c r="U791" t="s">
        <v>33</v>
      </c>
      <c r="V791" t="s">
        <v>2834</v>
      </c>
      <c r="W791" t="s">
        <v>2834</v>
      </c>
      <c r="X791" t="s">
        <v>2834</v>
      </c>
      <c r="Y791" t="s">
        <v>2834</v>
      </c>
      <c r="Z791">
        <v>1</v>
      </c>
      <c r="AA791" t="s">
        <v>2789</v>
      </c>
      <c r="AB791">
        <v>0</v>
      </c>
      <c r="AC791" t="s">
        <v>2794</v>
      </c>
      <c r="AD791">
        <v>14149.92</v>
      </c>
      <c r="AE791">
        <v>4683.41</v>
      </c>
      <c r="AF791">
        <v>0.33098491016203624</v>
      </c>
      <c r="AG791" t="s">
        <v>2822</v>
      </c>
      <c r="AH791">
        <v>2025</v>
      </c>
      <c r="AI791" t="s">
        <v>2838</v>
      </c>
    </row>
    <row r="792" spans="1:35">
      <c r="A792" t="s">
        <v>2445</v>
      </c>
      <c r="B792">
        <v>45443</v>
      </c>
      <c r="C792">
        <v>45445</v>
      </c>
      <c r="D792" t="s">
        <v>2446</v>
      </c>
      <c r="E792" t="s">
        <v>118</v>
      </c>
      <c r="F792" t="s">
        <v>90</v>
      </c>
      <c r="G792" t="s">
        <v>54</v>
      </c>
      <c r="H792" t="s">
        <v>84</v>
      </c>
      <c r="I792" t="s">
        <v>85</v>
      </c>
      <c r="J792" t="s">
        <v>28</v>
      </c>
      <c r="K792" t="s">
        <v>48</v>
      </c>
      <c r="L792" t="s">
        <v>2447</v>
      </c>
      <c r="M792" t="s">
        <v>59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32</v>
      </c>
      <c r="U792" t="s">
        <v>33</v>
      </c>
      <c r="V792" t="s">
        <v>2834</v>
      </c>
      <c r="W792" t="s">
        <v>2834</v>
      </c>
      <c r="X792" t="s">
        <v>2834</v>
      </c>
      <c r="Y792" t="s">
        <v>2834</v>
      </c>
      <c r="Z792">
        <v>2</v>
      </c>
      <c r="AA792" t="s">
        <v>2789</v>
      </c>
      <c r="AB792">
        <v>0.2</v>
      </c>
      <c r="AC792" t="s">
        <v>2794</v>
      </c>
      <c r="AD792">
        <v>4272.576</v>
      </c>
      <c r="AE792">
        <v>943.65599999999995</v>
      </c>
      <c r="AF792">
        <v>0.22086347908147214</v>
      </c>
      <c r="AG792" t="s">
        <v>2824</v>
      </c>
      <c r="AH792">
        <v>2024</v>
      </c>
      <c r="AI792" t="s">
        <v>2835</v>
      </c>
    </row>
    <row r="793" spans="1:35">
      <c r="A793" t="s">
        <v>2448</v>
      </c>
      <c r="B793">
        <v>45567</v>
      </c>
      <c r="C793">
        <v>45571</v>
      </c>
      <c r="D793" t="s">
        <v>2449</v>
      </c>
      <c r="E793" t="s">
        <v>118</v>
      </c>
      <c r="F793" t="s">
        <v>95</v>
      </c>
      <c r="G793" t="s">
        <v>54</v>
      </c>
      <c r="H793" t="s">
        <v>175</v>
      </c>
      <c r="I793" t="s">
        <v>176</v>
      </c>
      <c r="J793" t="s">
        <v>41</v>
      </c>
      <c r="K793" t="s">
        <v>158</v>
      </c>
      <c r="L793" t="s">
        <v>2450</v>
      </c>
      <c r="M793" t="s">
        <v>44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32</v>
      </c>
      <c r="U793" t="s">
        <v>33</v>
      </c>
      <c r="V793" t="s">
        <v>2834</v>
      </c>
      <c r="W793" t="s">
        <v>2834</v>
      </c>
      <c r="X793" t="s">
        <v>2834</v>
      </c>
      <c r="Y793" t="s">
        <v>2834</v>
      </c>
      <c r="Z793">
        <v>4</v>
      </c>
      <c r="AA793" t="s">
        <v>2789</v>
      </c>
      <c r="AB793">
        <v>0.25</v>
      </c>
      <c r="AC793" t="s">
        <v>2794</v>
      </c>
      <c r="AD793">
        <v>9352.619999999999</v>
      </c>
      <c r="AE793">
        <v>4083.2099999999991</v>
      </c>
      <c r="AF793">
        <v>0.43658461479243243</v>
      </c>
      <c r="AG793" t="s">
        <v>2829</v>
      </c>
      <c r="AH793">
        <v>2024</v>
      </c>
      <c r="AI793" t="s">
        <v>2835</v>
      </c>
    </row>
    <row r="794" spans="1:35">
      <c r="A794" t="s">
        <v>2451</v>
      </c>
      <c r="B794">
        <v>45812</v>
      </c>
      <c r="C794">
        <v>45816</v>
      </c>
      <c r="D794" t="s">
        <v>2452</v>
      </c>
      <c r="E794" t="s">
        <v>53</v>
      </c>
      <c r="F794" t="s">
        <v>37</v>
      </c>
      <c r="G794" t="s">
        <v>38</v>
      </c>
      <c r="H794" t="s">
        <v>166</v>
      </c>
      <c r="I794" t="s">
        <v>167</v>
      </c>
      <c r="J794" t="s">
        <v>41</v>
      </c>
      <c r="K794" t="s">
        <v>57</v>
      </c>
      <c r="L794" t="s">
        <v>2453</v>
      </c>
      <c r="M794" t="s">
        <v>31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32</v>
      </c>
      <c r="U794" t="s">
        <v>103</v>
      </c>
      <c r="V794" t="s">
        <v>2834</v>
      </c>
      <c r="W794" t="s">
        <v>2834</v>
      </c>
      <c r="X794" t="s">
        <v>2834</v>
      </c>
      <c r="Y794" t="s">
        <v>2834</v>
      </c>
      <c r="Z794">
        <v>4</v>
      </c>
      <c r="AA794" t="s">
        <v>2789</v>
      </c>
      <c r="AB794">
        <v>0.2</v>
      </c>
      <c r="AC794" t="s">
        <v>2794</v>
      </c>
      <c r="AD794">
        <v>2800.8960000000002</v>
      </c>
      <c r="AE794">
        <v>1064.9160000000002</v>
      </c>
      <c r="AF794">
        <v>0.38020547710446945</v>
      </c>
      <c r="AG794" t="s">
        <v>2825</v>
      </c>
      <c r="AH794">
        <v>2025</v>
      </c>
      <c r="AI794" t="s">
        <v>2835</v>
      </c>
    </row>
    <row r="795" spans="1:35">
      <c r="A795" t="s">
        <v>2454</v>
      </c>
      <c r="B795">
        <v>45440</v>
      </c>
      <c r="C795">
        <v>45446</v>
      </c>
      <c r="D795" t="s">
        <v>2455</v>
      </c>
      <c r="E795" t="s">
        <v>71</v>
      </c>
      <c r="F795" t="s">
        <v>90</v>
      </c>
      <c r="G795" t="s">
        <v>25</v>
      </c>
      <c r="H795" t="s">
        <v>26</v>
      </c>
      <c r="I795" t="s">
        <v>27</v>
      </c>
      <c r="J795" t="s">
        <v>74</v>
      </c>
      <c r="K795" t="s">
        <v>80</v>
      </c>
      <c r="L795" t="s">
        <v>2456</v>
      </c>
      <c r="M795" t="s">
        <v>31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32</v>
      </c>
      <c r="U795" t="s">
        <v>33</v>
      </c>
      <c r="V795" t="s">
        <v>2834</v>
      </c>
      <c r="W795" t="s">
        <v>2834</v>
      </c>
      <c r="X795" t="s">
        <v>2834</v>
      </c>
      <c r="Y795" t="s">
        <v>2834</v>
      </c>
      <c r="Z795">
        <v>6</v>
      </c>
      <c r="AA795" t="s">
        <v>2789</v>
      </c>
      <c r="AB795">
        <v>0</v>
      </c>
      <c r="AC795" t="s">
        <v>2794</v>
      </c>
      <c r="AD795">
        <v>21511.599999999999</v>
      </c>
      <c r="AE795">
        <v>6103.1299999999992</v>
      </c>
      <c r="AF795">
        <v>0.28371343833094703</v>
      </c>
      <c r="AG795" t="s">
        <v>2824</v>
      </c>
      <c r="AH795">
        <v>2024</v>
      </c>
      <c r="AI795" t="s">
        <v>2835</v>
      </c>
    </row>
    <row r="796" spans="1:35">
      <c r="A796" t="s">
        <v>2457</v>
      </c>
      <c r="B796">
        <v>45830</v>
      </c>
      <c r="C796">
        <v>45832</v>
      </c>
      <c r="D796" t="s">
        <v>2458</v>
      </c>
      <c r="E796" t="s">
        <v>132</v>
      </c>
      <c r="F796" t="s">
        <v>90</v>
      </c>
      <c r="G796" t="s">
        <v>38</v>
      </c>
      <c r="H796" t="s">
        <v>166</v>
      </c>
      <c r="I796" t="s">
        <v>167</v>
      </c>
      <c r="J796" t="s">
        <v>28</v>
      </c>
      <c r="K796" t="s">
        <v>29</v>
      </c>
      <c r="L796" t="s">
        <v>2459</v>
      </c>
      <c r="M796" t="s">
        <v>59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32</v>
      </c>
      <c r="U796" t="s">
        <v>33</v>
      </c>
      <c r="V796" t="s">
        <v>2834</v>
      </c>
      <c r="W796" t="s">
        <v>2834</v>
      </c>
      <c r="X796" t="s">
        <v>2834</v>
      </c>
      <c r="Y796" t="s">
        <v>2834</v>
      </c>
      <c r="Z796">
        <v>2</v>
      </c>
      <c r="AA796" t="s">
        <v>2789</v>
      </c>
      <c r="AB796">
        <v>0.15</v>
      </c>
      <c r="AC796" t="s">
        <v>2794</v>
      </c>
      <c r="AD796">
        <v>7279.3574999999992</v>
      </c>
      <c r="AE796">
        <v>2408.9674999999988</v>
      </c>
      <c r="AF796">
        <v>0.33093133562955235</v>
      </c>
      <c r="AG796" t="s">
        <v>2825</v>
      </c>
      <c r="AH796">
        <v>2025</v>
      </c>
      <c r="AI796" t="s">
        <v>2835</v>
      </c>
    </row>
    <row r="797" spans="1:35">
      <c r="A797" t="s">
        <v>2460</v>
      </c>
      <c r="B797">
        <v>45503</v>
      </c>
      <c r="C797">
        <v>45503</v>
      </c>
      <c r="D797" t="s">
        <v>2461</v>
      </c>
      <c r="E797" t="s">
        <v>162</v>
      </c>
      <c r="F797" t="s">
        <v>95</v>
      </c>
      <c r="G797" t="s">
        <v>38</v>
      </c>
      <c r="H797" t="s">
        <v>39</v>
      </c>
      <c r="I797" t="s">
        <v>40</v>
      </c>
      <c r="J797" t="s">
        <v>74</v>
      </c>
      <c r="K797" t="s">
        <v>80</v>
      </c>
      <c r="L797" t="s">
        <v>2462</v>
      </c>
      <c r="M797" t="s">
        <v>44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102</v>
      </c>
      <c r="U797" t="s">
        <v>68</v>
      </c>
      <c r="V797" t="s">
        <v>2834</v>
      </c>
      <c r="W797" t="s">
        <v>2834</v>
      </c>
      <c r="X797" t="s">
        <v>2834</v>
      </c>
      <c r="Y797" t="s">
        <v>2834</v>
      </c>
      <c r="Z797">
        <v>0</v>
      </c>
      <c r="AA797" t="s">
        <v>2789</v>
      </c>
      <c r="AB797">
        <v>0</v>
      </c>
      <c r="AC797" t="s">
        <v>2794</v>
      </c>
      <c r="AD797">
        <v>26051.94</v>
      </c>
      <c r="AE797">
        <v>9168.3499999999985</v>
      </c>
      <c r="AF797">
        <v>0.3519258066769691</v>
      </c>
      <c r="AG797" t="s">
        <v>2826</v>
      </c>
      <c r="AH797">
        <v>2024</v>
      </c>
      <c r="AI797" t="s">
        <v>2835</v>
      </c>
    </row>
    <row r="798" spans="1:35">
      <c r="A798" t="s">
        <v>2463</v>
      </c>
      <c r="B798">
        <v>45374</v>
      </c>
      <c r="C798">
        <v>45381</v>
      </c>
      <c r="D798" t="s">
        <v>2464</v>
      </c>
      <c r="E798" t="s">
        <v>141</v>
      </c>
      <c r="F798" t="s">
        <v>37</v>
      </c>
      <c r="G798" t="s">
        <v>54</v>
      </c>
      <c r="H798" t="s">
        <v>84</v>
      </c>
      <c r="I798" t="s">
        <v>85</v>
      </c>
      <c r="J798" t="s">
        <v>74</v>
      </c>
      <c r="K798" t="s">
        <v>274</v>
      </c>
      <c r="L798" t="s">
        <v>2465</v>
      </c>
      <c r="M798" t="s">
        <v>50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32</v>
      </c>
      <c r="U798" t="s">
        <v>33</v>
      </c>
      <c r="V798" t="s">
        <v>2834</v>
      </c>
      <c r="W798" t="s">
        <v>2834</v>
      </c>
      <c r="X798" t="s">
        <v>2834</v>
      </c>
      <c r="Y798" t="s">
        <v>2834</v>
      </c>
      <c r="Z798">
        <v>7</v>
      </c>
      <c r="AA798" t="s">
        <v>2789</v>
      </c>
      <c r="AB798">
        <v>0.15</v>
      </c>
      <c r="AC798" t="s">
        <v>2794</v>
      </c>
      <c r="AD798">
        <v>9661.6439999999984</v>
      </c>
      <c r="AE798">
        <v>3357.873999999998</v>
      </c>
      <c r="AF798">
        <v>0.34754685641491223</v>
      </c>
      <c r="AG798" t="s">
        <v>2822</v>
      </c>
      <c r="AH798">
        <v>2024</v>
      </c>
      <c r="AI798" t="s">
        <v>2835</v>
      </c>
    </row>
    <row r="799" spans="1:35">
      <c r="A799" t="s">
        <v>2466</v>
      </c>
      <c r="B799">
        <v>45400</v>
      </c>
      <c r="C799">
        <v>45404</v>
      </c>
      <c r="D799" t="s">
        <v>2467</v>
      </c>
      <c r="E799" t="s">
        <v>128</v>
      </c>
      <c r="F799" t="s">
        <v>24</v>
      </c>
      <c r="G799" t="s">
        <v>38</v>
      </c>
      <c r="H799" t="s">
        <v>39</v>
      </c>
      <c r="I799" t="s">
        <v>40</v>
      </c>
      <c r="J799" t="s">
        <v>28</v>
      </c>
      <c r="K799" t="s">
        <v>153</v>
      </c>
      <c r="L799" t="s">
        <v>2468</v>
      </c>
      <c r="M799" t="s">
        <v>50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155</v>
      </c>
      <c r="U799" t="s">
        <v>68</v>
      </c>
      <c r="V799" t="s">
        <v>2834</v>
      </c>
      <c r="W799" t="s">
        <v>2834</v>
      </c>
      <c r="X799" t="s">
        <v>2834</v>
      </c>
      <c r="Y799" t="s">
        <v>2834</v>
      </c>
      <c r="Z799">
        <v>4</v>
      </c>
      <c r="AA799" t="s">
        <v>2789</v>
      </c>
      <c r="AB799">
        <v>0</v>
      </c>
      <c r="AC799" t="s">
        <v>2794</v>
      </c>
      <c r="AD799">
        <v>13714.96</v>
      </c>
      <c r="AE799">
        <v>3164.49</v>
      </c>
      <c r="AF799">
        <v>0.23073271814135804</v>
      </c>
      <c r="AG799" t="s">
        <v>2823</v>
      </c>
      <c r="AH799">
        <v>2024</v>
      </c>
      <c r="AI799" t="s">
        <v>2835</v>
      </c>
    </row>
    <row r="800" spans="1:35">
      <c r="A800" t="s">
        <v>2469</v>
      </c>
      <c r="B800">
        <v>45849</v>
      </c>
      <c r="C800">
        <v>45847</v>
      </c>
      <c r="D800" t="s">
        <v>2470</v>
      </c>
      <c r="E800" t="s">
        <v>89</v>
      </c>
      <c r="F800" t="s">
        <v>90</v>
      </c>
      <c r="G800" t="s">
        <v>25</v>
      </c>
      <c r="H800" t="s">
        <v>350</v>
      </c>
      <c r="I800" t="s">
        <v>351</v>
      </c>
      <c r="J800" t="s">
        <v>41</v>
      </c>
      <c r="K800" t="s">
        <v>57</v>
      </c>
      <c r="L800" t="s">
        <v>2471</v>
      </c>
      <c r="M800" t="s">
        <v>59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32</v>
      </c>
      <c r="U800" t="s">
        <v>33</v>
      </c>
      <c r="V800" t="s">
        <v>2834</v>
      </c>
      <c r="W800" t="s">
        <v>2834</v>
      </c>
      <c r="X800" t="s">
        <v>2834</v>
      </c>
      <c r="Y800" t="s">
        <v>2837</v>
      </c>
      <c r="Z800">
        <v>-2</v>
      </c>
      <c r="AA800" t="s">
        <v>2789</v>
      </c>
      <c r="AB800">
        <v>0</v>
      </c>
      <c r="AC800" t="s">
        <v>2794</v>
      </c>
      <c r="AD800">
        <v>15354.449999999999</v>
      </c>
      <c r="AE800">
        <v>5697.9499999999989</v>
      </c>
      <c r="AF800">
        <v>0.37109437329243311</v>
      </c>
      <c r="AG800" t="s">
        <v>2826</v>
      </c>
      <c r="AH800">
        <v>2025</v>
      </c>
      <c r="AI800" t="s">
        <v>2836</v>
      </c>
    </row>
    <row r="801" spans="1:35">
      <c r="A801" t="s">
        <v>2472</v>
      </c>
      <c r="B801">
        <v>45575</v>
      </c>
      <c r="C801">
        <v>45582</v>
      </c>
      <c r="D801" t="s">
        <v>2473</v>
      </c>
      <c r="E801" t="s">
        <v>47</v>
      </c>
      <c r="F801" t="s">
        <v>95</v>
      </c>
      <c r="G801" t="s">
        <v>25</v>
      </c>
      <c r="H801" t="s">
        <v>236</v>
      </c>
      <c r="I801" t="s">
        <v>237</v>
      </c>
      <c r="J801" t="s">
        <v>74</v>
      </c>
      <c r="K801" t="s">
        <v>75</v>
      </c>
      <c r="L801" t="s">
        <v>2474</v>
      </c>
      <c r="M801" t="s">
        <v>2791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32</v>
      </c>
      <c r="U801" t="s">
        <v>103</v>
      </c>
      <c r="V801" t="s">
        <v>2834</v>
      </c>
      <c r="W801" t="s">
        <v>2834</v>
      </c>
      <c r="X801" t="s">
        <v>2834</v>
      </c>
      <c r="Y801" t="s">
        <v>2834</v>
      </c>
      <c r="Z801">
        <v>7</v>
      </c>
      <c r="AA801" t="s">
        <v>2789</v>
      </c>
      <c r="AB801">
        <v>0.05</v>
      </c>
      <c r="AC801" t="s">
        <v>2794</v>
      </c>
      <c r="AD801">
        <v>4595.1975000000002</v>
      </c>
      <c r="AE801">
        <v>707.78750000000036</v>
      </c>
      <c r="AF801">
        <v>0.15402765604742785</v>
      </c>
      <c r="AG801" t="s">
        <v>2829</v>
      </c>
      <c r="AH801">
        <v>2024</v>
      </c>
      <c r="AI801" t="s">
        <v>2838</v>
      </c>
    </row>
    <row r="802" spans="1:35">
      <c r="A802" t="s">
        <v>2475</v>
      </c>
      <c r="B802">
        <v>45352</v>
      </c>
      <c r="C802">
        <v>45358</v>
      </c>
      <c r="D802" t="s">
        <v>2476</v>
      </c>
      <c r="E802" t="s">
        <v>71</v>
      </c>
      <c r="F802" t="s">
        <v>37</v>
      </c>
      <c r="G802" t="s">
        <v>63</v>
      </c>
      <c r="H802" t="s">
        <v>64</v>
      </c>
      <c r="I802" t="s">
        <v>65</v>
      </c>
      <c r="J802" t="s">
        <v>28</v>
      </c>
      <c r="K802" t="s">
        <v>124</v>
      </c>
      <c r="L802" t="s">
        <v>2477</v>
      </c>
      <c r="M802" t="s">
        <v>31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32</v>
      </c>
      <c r="U802" t="s">
        <v>33</v>
      </c>
      <c r="V802" t="s">
        <v>2834</v>
      </c>
      <c r="W802" t="s">
        <v>2834</v>
      </c>
      <c r="X802" t="s">
        <v>2834</v>
      </c>
      <c r="Y802" t="s">
        <v>2834</v>
      </c>
      <c r="Z802">
        <v>6</v>
      </c>
      <c r="AA802" t="s">
        <v>2789</v>
      </c>
      <c r="AB802">
        <v>0.15</v>
      </c>
      <c r="AC802" t="s">
        <v>2794</v>
      </c>
      <c r="AD802">
        <v>21234.971999999998</v>
      </c>
      <c r="AE802">
        <v>4498.8819999999978</v>
      </c>
      <c r="AF802">
        <v>0.21186192286950029</v>
      </c>
      <c r="AG802" t="s">
        <v>2822</v>
      </c>
      <c r="AH802">
        <v>2024</v>
      </c>
      <c r="AI802" t="s">
        <v>2835</v>
      </c>
    </row>
    <row r="803" spans="1:35">
      <c r="A803" t="s">
        <v>2478</v>
      </c>
      <c r="B803">
        <v>45938</v>
      </c>
      <c r="C803">
        <v>45945</v>
      </c>
      <c r="D803" t="s">
        <v>2479</v>
      </c>
      <c r="E803" t="s">
        <v>128</v>
      </c>
      <c r="F803" t="s">
        <v>95</v>
      </c>
      <c r="G803" t="s">
        <v>38</v>
      </c>
      <c r="H803" t="s">
        <v>39</v>
      </c>
      <c r="I803" t="s">
        <v>40</v>
      </c>
      <c r="J803" t="s">
        <v>74</v>
      </c>
      <c r="K803" t="s">
        <v>75</v>
      </c>
      <c r="L803" t="s">
        <v>2480</v>
      </c>
      <c r="M803" t="s">
        <v>31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111</v>
      </c>
      <c r="U803" t="s">
        <v>68</v>
      </c>
      <c r="V803" t="s">
        <v>2834</v>
      </c>
      <c r="W803" t="s">
        <v>2834</v>
      </c>
      <c r="X803" t="s">
        <v>2834</v>
      </c>
      <c r="Y803" t="s">
        <v>2834</v>
      </c>
      <c r="Z803">
        <v>7</v>
      </c>
      <c r="AA803" t="s">
        <v>2789</v>
      </c>
      <c r="AB803">
        <v>0.2</v>
      </c>
      <c r="AC803" t="s">
        <v>2794</v>
      </c>
      <c r="AD803">
        <v>8093.304000000001</v>
      </c>
      <c r="AE803">
        <v>2040.8740000000007</v>
      </c>
      <c r="AF803">
        <v>0.25216821214179036</v>
      </c>
      <c r="AG803" t="s">
        <v>2829</v>
      </c>
      <c r="AH803">
        <v>2025</v>
      </c>
      <c r="AI803" t="s">
        <v>2835</v>
      </c>
    </row>
    <row r="804" spans="1:35">
      <c r="A804" t="s">
        <v>2481</v>
      </c>
      <c r="B804">
        <v>45704</v>
      </c>
      <c r="C804">
        <v>45704</v>
      </c>
      <c r="D804" t="s">
        <v>2482</v>
      </c>
      <c r="E804" t="s">
        <v>141</v>
      </c>
      <c r="F804" t="s">
        <v>37</v>
      </c>
      <c r="G804" t="s">
        <v>38</v>
      </c>
      <c r="H804" t="s">
        <v>166</v>
      </c>
      <c r="I804" t="s">
        <v>167</v>
      </c>
      <c r="J804" t="s">
        <v>41</v>
      </c>
      <c r="K804" t="s">
        <v>57</v>
      </c>
      <c r="L804" t="s">
        <v>2483</v>
      </c>
      <c r="M804" t="s">
        <v>31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155</v>
      </c>
      <c r="U804" t="s">
        <v>103</v>
      </c>
      <c r="V804" t="s">
        <v>2834</v>
      </c>
      <c r="W804" t="s">
        <v>2834</v>
      </c>
      <c r="X804" t="s">
        <v>2834</v>
      </c>
      <c r="Y804" t="s">
        <v>2834</v>
      </c>
      <c r="Z804">
        <v>0</v>
      </c>
      <c r="AA804" t="s">
        <v>2789</v>
      </c>
      <c r="AB804">
        <v>0</v>
      </c>
      <c r="AC804" t="s">
        <v>2794</v>
      </c>
      <c r="AD804">
        <v>8651.4600000000009</v>
      </c>
      <c r="AE804">
        <v>3396.8400000000011</v>
      </c>
      <c r="AF804">
        <v>0.39263199506210522</v>
      </c>
      <c r="AG804" t="s">
        <v>2821</v>
      </c>
      <c r="AH804">
        <v>2025</v>
      </c>
      <c r="AI804" t="s">
        <v>2835</v>
      </c>
    </row>
    <row r="805" spans="1:35">
      <c r="A805" t="s">
        <v>2484</v>
      </c>
      <c r="B805">
        <v>45635</v>
      </c>
      <c r="C805">
        <v>45639</v>
      </c>
      <c r="D805" t="s">
        <v>2485</v>
      </c>
      <c r="E805" t="s">
        <v>141</v>
      </c>
      <c r="F805" t="s">
        <v>24</v>
      </c>
      <c r="G805" t="s">
        <v>2791</v>
      </c>
      <c r="H805" t="s">
        <v>228</v>
      </c>
      <c r="I805" t="s">
        <v>229</v>
      </c>
      <c r="J805" t="s">
        <v>28</v>
      </c>
      <c r="K805" t="s">
        <v>91</v>
      </c>
      <c r="L805" t="s">
        <v>2486</v>
      </c>
      <c r="M805" t="s">
        <v>50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32</v>
      </c>
      <c r="U805" t="s">
        <v>33</v>
      </c>
      <c r="V805" t="s">
        <v>2834</v>
      </c>
      <c r="W805" t="s">
        <v>2834</v>
      </c>
      <c r="X805" t="s">
        <v>2834</v>
      </c>
      <c r="Y805" t="s">
        <v>2834</v>
      </c>
      <c r="Z805">
        <v>4</v>
      </c>
      <c r="AA805" t="s">
        <v>2789</v>
      </c>
      <c r="AB805">
        <v>0</v>
      </c>
      <c r="AC805" t="s">
        <v>2794</v>
      </c>
      <c r="AD805">
        <v>4306.6499999999996</v>
      </c>
      <c r="AE805">
        <v>1737.8299999999995</v>
      </c>
      <c r="AF805">
        <v>0.40352245945224235</v>
      </c>
      <c r="AG805" t="s">
        <v>2831</v>
      </c>
      <c r="AH805">
        <v>2024</v>
      </c>
      <c r="AI805" t="s">
        <v>2838</v>
      </c>
    </row>
    <row r="806" spans="1:35">
      <c r="A806" t="s">
        <v>2487</v>
      </c>
      <c r="B806">
        <v>45910</v>
      </c>
      <c r="C806">
        <v>45918</v>
      </c>
      <c r="D806" t="s">
        <v>2488</v>
      </c>
      <c r="E806" t="s">
        <v>118</v>
      </c>
      <c r="F806" t="s">
        <v>95</v>
      </c>
      <c r="G806" t="s">
        <v>54</v>
      </c>
      <c r="H806" t="s">
        <v>55</v>
      </c>
      <c r="I806" t="s">
        <v>56</v>
      </c>
      <c r="J806" t="s">
        <v>41</v>
      </c>
      <c r="K806" t="s">
        <v>57</v>
      </c>
      <c r="L806" t="s">
        <v>2489</v>
      </c>
      <c r="M806" t="s">
        <v>59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32</v>
      </c>
      <c r="U806" t="s">
        <v>33</v>
      </c>
      <c r="V806" t="s">
        <v>2834</v>
      </c>
      <c r="W806" t="s">
        <v>2834</v>
      </c>
      <c r="X806" t="s">
        <v>2834</v>
      </c>
      <c r="Y806" t="s">
        <v>2834</v>
      </c>
      <c r="Z806">
        <v>8</v>
      </c>
      <c r="AA806" t="s">
        <v>2789</v>
      </c>
      <c r="AB806">
        <v>0.05</v>
      </c>
      <c r="AC806" t="s">
        <v>2794</v>
      </c>
      <c r="AD806">
        <v>1948.0889999999997</v>
      </c>
      <c r="AE806">
        <v>441.00899999999979</v>
      </c>
      <c r="AF806">
        <v>0.22638031424642296</v>
      </c>
      <c r="AG806" t="s">
        <v>2828</v>
      </c>
      <c r="AH806">
        <v>2025</v>
      </c>
      <c r="AI806" t="s">
        <v>2835</v>
      </c>
    </row>
    <row r="807" spans="1:35">
      <c r="A807" t="s">
        <v>2490</v>
      </c>
      <c r="B807">
        <v>45753</v>
      </c>
      <c r="C807">
        <v>45754</v>
      </c>
      <c r="D807" t="s">
        <v>2355</v>
      </c>
      <c r="E807" t="s">
        <v>114</v>
      </c>
      <c r="F807" t="s">
        <v>95</v>
      </c>
      <c r="G807" t="s">
        <v>38</v>
      </c>
      <c r="H807" t="s">
        <v>166</v>
      </c>
      <c r="I807" t="s">
        <v>167</v>
      </c>
      <c r="J807" t="s">
        <v>28</v>
      </c>
      <c r="K807" t="s">
        <v>153</v>
      </c>
      <c r="L807" t="s">
        <v>2491</v>
      </c>
      <c r="M807" t="s">
        <v>31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32</v>
      </c>
      <c r="U807" t="s">
        <v>33</v>
      </c>
      <c r="V807" t="s">
        <v>2834</v>
      </c>
      <c r="W807" t="s">
        <v>2834</v>
      </c>
      <c r="X807" t="s">
        <v>2834</v>
      </c>
      <c r="Y807" t="s">
        <v>2834</v>
      </c>
      <c r="Z807">
        <v>1</v>
      </c>
      <c r="AA807" t="s">
        <v>2789</v>
      </c>
      <c r="AB807">
        <v>0.25</v>
      </c>
      <c r="AC807" t="s">
        <v>2794</v>
      </c>
      <c r="AD807">
        <v>3045.09</v>
      </c>
      <c r="AE807">
        <v>444</v>
      </c>
      <c r="AF807">
        <v>0.14580849827098705</v>
      </c>
      <c r="AG807" t="s">
        <v>2823</v>
      </c>
      <c r="AH807">
        <v>2025</v>
      </c>
      <c r="AI807" t="s">
        <v>2835</v>
      </c>
    </row>
    <row r="808" spans="1:35">
      <c r="A808" t="s">
        <v>2492</v>
      </c>
      <c r="B808">
        <v>45605</v>
      </c>
      <c r="C808">
        <v>45611</v>
      </c>
      <c r="D808" t="s">
        <v>2493</v>
      </c>
      <c r="E808" t="s">
        <v>47</v>
      </c>
      <c r="F808" t="s">
        <v>95</v>
      </c>
      <c r="G808" t="s">
        <v>25</v>
      </c>
      <c r="H808" t="s">
        <v>26</v>
      </c>
      <c r="I808" t="s">
        <v>27</v>
      </c>
      <c r="J808" t="s">
        <v>74</v>
      </c>
      <c r="K808" t="s">
        <v>80</v>
      </c>
      <c r="L808" t="s">
        <v>2494</v>
      </c>
      <c r="M808" t="s">
        <v>59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155</v>
      </c>
      <c r="U808" t="s">
        <v>68</v>
      </c>
      <c r="V808" t="s">
        <v>2834</v>
      </c>
      <c r="W808" t="s">
        <v>2834</v>
      </c>
      <c r="X808" t="s">
        <v>2834</v>
      </c>
      <c r="Y808" t="s">
        <v>2834</v>
      </c>
      <c r="Z808">
        <v>6</v>
      </c>
      <c r="AA808" t="s">
        <v>2789</v>
      </c>
      <c r="AB808">
        <v>0.2</v>
      </c>
      <c r="AC808" t="s">
        <v>2794</v>
      </c>
      <c r="AD808">
        <v>2932.7759999999998</v>
      </c>
      <c r="AE808">
        <v>1032.4259999999999</v>
      </c>
      <c r="AF808">
        <v>0.35203029484692999</v>
      </c>
      <c r="AG808" t="s">
        <v>2830</v>
      </c>
      <c r="AH808">
        <v>2024</v>
      </c>
      <c r="AI808" t="s">
        <v>2835</v>
      </c>
    </row>
    <row r="809" spans="1:35">
      <c r="A809" t="s">
        <v>2495</v>
      </c>
      <c r="B809">
        <v>45695</v>
      </c>
      <c r="C809">
        <v>45696</v>
      </c>
      <c r="D809" t="s">
        <v>2496</v>
      </c>
      <c r="E809" t="s">
        <v>23</v>
      </c>
      <c r="F809" t="s">
        <v>37</v>
      </c>
      <c r="G809" t="s">
        <v>54</v>
      </c>
      <c r="H809" t="s">
        <v>55</v>
      </c>
      <c r="I809" t="s">
        <v>56</v>
      </c>
      <c r="J809" t="s">
        <v>28</v>
      </c>
      <c r="K809" t="s">
        <v>91</v>
      </c>
      <c r="L809" t="s">
        <v>2497</v>
      </c>
      <c r="M809" t="s">
        <v>59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32</v>
      </c>
      <c r="U809" t="s">
        <v>33</v>
      </c>
      <c r="V809" t="s">
        <v>2834</v>
      </c>
      <c r="W809" t="s">
        <v>2834</v>
      </c>
      <c r="X809" t="s">
        <v>2834</v>
      </c>
      <c r="Y809" t="s">
        <v>2834</v>
      </c>
      <c r="Z809">
        <v>1</v>
      </c>
      <c r="AA809" t="s">
        <v>2789</v>
      </c>
      <c r="AB809">
        <v>0.1</v>
      </c>
      <c r="AC809" t="s">
        <v>2794</v>
      </c>
      <c r="AD809">
        <v>4379.3640000000005</v>
      </c>
      <c r="AE809">
        <v>655.43400000000065</v>
      </c>
      <c r="AF809">
        <v>0.14966419781502532</v>
      </c>
      <c r="AG809" t="s">
        <v>2821</v>
      </c>
      <c r="AH809">
        <v>2025</v>
      </c>
      <c r="AI809" t="s">
        <v>2835</v>
      </c>
    </row>
    <row r="810" spans="1:35">
      <c r="A810" t="s">
        <v>2498</v>
      </c>
      <c r="B810">
        <v>45900</v>
      </c>
      <c r="C810">
        <v>45897</v>
      </c>
      <c r="D810" t="s">
        <v>2499</v>
      </c>
      <c r="E810" t="s">
        <v>128</v>
      </c>
      <c r="F810" t="s">
        <v>37</v>
      </c>
      <c r="G810" t="s">
        <v>54</v>
      </c>
      <c r="H810" t="s">
        <v>247</v>
      </c>
      <c r="I810" t="s">
        <v>248</v>
      </c>
      <c r="J810" t="s">
        <v>41</v>
      </c>
      <c r="K810" t="s">
        <v>57</v>
      </c>
      <c r="L810" t="s">
        <v>2500</v>
      </c>
      <c r="M810" t="s">
        <v>50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32</v>
      </c>
      <c r="U810" t="s">
        <v>33</v>
      </c>
      <c r="V810" t="s">
        <v>2834</v>
      </c>
      <c r="W810" t="s">
        <v>2834</v>
      </c>
      <c r="X810" t="s">
        <v>2834</v>
      </c>
      <c r="Y810" t="s">
        <v>2837</v>
      </c>
      <c r="Z810">
        <v>-3</v>
      </c>
      <c r="AA810" t="s">
        <v>2789</v>
      </c>
      <c r="AB810">
        <v>0.2</v>
      </c>
      <c r="AC810" t="s">
        <v>2794</v>
      </c>
      <c r="AD810">
        <v>5472.768</v>
      </c>
      <c r="AE810">
        <v>995.4380000000001</v>
      </c>
      <c r="AF810">
        <v>0.18188931085695575</v>
      </c>
      <c r="AG810" t="s">
        <v>2827</v>
      </c>
      <c r="AH810">
        <v>2025</v>
      </c>
      <c r="AI810" t="s">
        <v>2836</v>
      </c>
    </row>
    <row r="811" spans="1:35">
      <c r="A811" t="s">
        <v>2501</v>
      </c>
      <c r="B811">
        <v>45833</v>
      </c>
      <c r="C811">
        <v>45833</v>
      </c>
      <c r="D811" t="s">
        <v>2502</v>
      </c>
      <c r="E811" t="s">
        <v>53</v>
      </c>
      <c r="F811" t="s">
        <v>37</v>
      </c>
      <c r="G811" t="s">
        <v>2791</v>
      </c>
      <c r="H811" t="s">
        <v>122</v>
      </c>
      <c r="I811" t="s">
        <v>123</v>
      </c>
      <c r="J811" t="s">
        <v>28</v>
      </c>
      <c r="K811" t="s">
        <v>153</v>
      </c>
      <c r="L811" t="s">
        <v>2503</v>
      </c>
      <c r="M811" t="s">
        <v>31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32</v>
      </c>
      <c r="U811" t="s">
        <v>33</v>
      </c>
      <c r="V811" t="s">
        <v>2834</v>
      </c>
      <c r="W811" t="s">
        <v>2834</v>
      </c>
      <c r="X811" t="s">
        <v>2834</v>
      </c>
      <c r="Y811" t="s">
        <v>2834</v>
      </c>
      <c r="Z811">
        <v>0</v>
      </c>
      <c r="AA811" t="s">
        <v>2789</v>
      </c>
      <c r="AB811">
        <v>0.1</v>
      </c>
      <c r="AC811" t="s">
        <v>2794</v>
      </c>
      <c r="AD811">
        <v>7377.1020000000008</v>
      </c>
      <c r="AE811">
        <v>2291.8920000000007</v>
      </c>
      <c r="AF811">
        <v>0.31067646888981615</v>
      </c>
      <c r="AG811" t="s">
        <v>2825</v>
      </c>
      <c r="AH811">
        <v>2025</v>
      </c>
      <c r="AI811" t="s">
        <v>2838</v>
      </c>
    </row>
    <row r="812" spans="1:35">
      <c r="A812" t="s">
        <v>2504</v>
      </c>
      <c r="B812">
        <v>45385</v>
      </c>
      <c r="C812">
        <v>45390</v>
      </c>
      <c r="D812" t="s">
        <v>1668</v>
      </c>
      <c r="E812" t="s">
        <v>264</v>
      </c>
      <c r="F812" t="s">
        <v>95</v>
      </c>
      <c r="G812" t="s">
        <v>63</v>
      </c>
      <c r="H812" t="s">
        <v>180</v>
      </c>
      <c r="I812" t="s">
        <v>181</v>
      </c>
      <c r="J812" t="s">
        <v>74</v>
      </c>
      <c r="K812" t="s">
        <v>80</v>
      </c>
      <c r="L812" t="s">
        <v>2505</v>
      </c>
      <c r="M812" t="s">
        <v>50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32</v>
      </c>
      <c r="U812" t="s">
        <v>33</v>
      </c>
      <c r="V812" t="s">
        <v>2834</v>
      </c>
      <c r="W812" t="s">
        <v>2834</v>
      </c>
      <c r="X812" t="s">
        <v>2834</v>
      </c>
      <c r="Y812" t="s">
        <v>2834</v>
      </c>
      <c r="Z812">
        <v>5</v>
      </c>
      <c r="AA812" t="s">
        <v>2789</v>
      </c>
      <c r="AB812">
        <v>0.25</v>
      </c>
      <c r="AC812" t="s">
        <v>2794</v>
      </c>
      <c r="AD812">
        <v>2363.8874999999998</v>
      </c>
      <c r="AE812">
        <v>892.37749999999983</v>
      </c>
      <c r="AF812">
        <v>0.37750421710000998</v>
      </c>
      <c r="AG812" t="s">
        <v>2823</v>
      </c>
      <c r="AH812">
        <v>2024</v>
      </c>
      <c r="AI812" t="s">
        <v>2835</v>
      </c>
    </row>
    <row r="813" spans="1:35">
      <c r="A813" t="s">
        <v>2506</v>
      </c>
      <c r="B813">
        <v>45638</v>
      </c>
      <c r="C813">
        <v>45645</v>
      </c>
      <c r="D813" t="s">
        <v>2507</v>
      </c>
      <c r="E813" t="s">
        <v>141</v>
      </c>
      <c r="F813" t="s">
        <v>95</v>
      </c>
      <c r="G813" t="s">
        <v>25</v>
      </c>
      <c r="H813" t="s">
        <v>236</v>
      </c>
      <c r="I813" t="s">
        <v>237</v>
      </c>
      <c r="J813" t="s">
        <v>74</v>
      </c>
      <c r="K813" t="s">
        <v>75</v>
      </c>
      <c r="L813" t="s">
        <v>2508</v>
      </c>
      <c r="M813" t="s">
        <v>50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32</v>
      </c>
      <c r="U813" t="s">
        <v>33</v>
      </c>
      <c r="V813" t="s">
        <v>2834</v>
      </c>
      <c r="W813" t="s">
        <v>2834</v>
      </c>
      <c r="X813" t="s">
        <v>2834</v>
      </c>
      <c r="Y813" t="s">
        <v>2834</v>
      </c>
      <c r="Z813">
        <v>7</v>
      </c>
      <c r="AA813" t="s">
        <v>2789</v>
      </c>
      <c r="AB813">
        <v>0.2</v>
      </c>
      <c r="AC813" t="s">
        <v>2794</v>
      </c>
      <c r="AD813">
        <v>2577.2000000000003</v>
      </c>
      <c r="AE813">
        <v>1101.3300000000004</v>
      </c>
      <c r="AF813">
        <v>0.42733586838429316</v>
      </c>
      <c r="AG813" t="s">
        <v>2831</v>
      </c>
      <c r="AH813">
        <v>2024</v>
      </c>
      <c r="AI813" t="s">
        <v>2835</v>
      </c>
    </row>
    <row r="814" spans="1:35">
      <c r="A814" t="s">
        <v>2509</v>
      </c>
      <c r="B814">
        <v>45458</v>
      </c>
      <c r="C814">
        <v>45463</v>
      </c>
      <c r="D814" t="s">
        <v>2510</v>
      </c>
      <c r="E814" t="s">
        <v>132</v>
      </c>
      <c r="F814" t="s">
        <v>37</v>
      </c>
      <c r="G814" t="s">
        <v>38</v>
      </c>
      <c r="H814" t="s">
        <v>228</v>
      </c>
      <c r="I814" t="s">
        <v>229</v>
      </c>
      <c r="J814" t="s">
        <v>41</v>
      </c>
      <c r="K814" t="s">
        <v>42</v>
      </c>
      <c r="L814" t="s">
        <v>2511</v>
      </c>
      <c r="M814" t="s">
        <v>50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32</v>
      </c>
      <c r="U814" t="s">
        <v>33</v>
      </c>
      <c r="V814" t="s">
        <v>2834</v>
      </c>
      <c r="W814" t="s">
        <v>2834</v>
      </c>
      <c r="X814" t="s">
        <v>2834</v>
      </c>
      <c r="Y814" t="s">
        <v>2834</v>
      </c>
      <c r="Z814">
        <v>5</v>
      </c>
      <c r="AA814" t="s">
        <v>2789</v>
      </c>
      <c r="AB814">
        <v>0</v>
      </c>
      <c r="AC814" t="s">
        <v>2794</v>
      </c>
      <c r="AD814">
        <v>17827.759999999998</v>
      </c>
      <c r="AE814">
        <v>3705.6299999999992</v>
      </c>
      <c r="AF814">
        <v>0.20785729671029896</v>
      </c>
      <c r="AG814" t="s">
        <v>2825</v>
      </c>
      <c r="AH814">
        <v>2024</v>
      </c>
      <c r="AI814" t="s">
        <v>2835</v>
      </c>
    </row>
    <row r="815" spans="1:35">
      <c r="A815" t="s">
        <v>2512</v>
      </c>
      <c r="B815">
        <v>45753</v>
      </c>
      <c r="C815">
        <v>45757</v>
      </c>
      <c r="D815" t="s">
        <v>2513</v>
      </c>
      <c r="E815" t="s">
        <v>141</v>
      </c>
      <c r="F815" t="s">
        <v>24</v>
      </c>
      <c r="G815" t="s">
        <v>38</v>
      </c>
      <c r="H815" t="s">
        <v>39</v>
      </c>
      <c r="I815" t="s">
        <v>40</v>
      </c>
      <c r="J815" t="s">
        <v>41</v>
      </c>
      <c r="K815" t="s">
        <v>158</v>
      </c>
      <c r="L815" t="s">
        <v>1123</v>
      </c>
      <c r="M815" t="s">
        <v>59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32</v>
      </c>
      <c r="U815" t="s">
        <v>33</v>
      </c>
      <c r="V815" t="s">
        <v>2834</v>
      </c>
      <c r="W815" t="s">
        <v>2834</v>
      </c>
      <c r="X815" t="s">
        <v>2834</v>
      </c>
      <c r="Y815" t="s">
        <v>2834</v>
      </c>
      <c r="Z815">
        <v>4</v>
      </c>
      <c r="AA815" t="s">
        <v>2789</v>
      </c>
      <c r="AB815">
        <v>0</v>
      </c>
      <c r="AC815" t="s">
        <v>2794</v>
      </c>
      <c r="AD815">
        <v>2675.34</v>
      </c>
      <c r="AE815">
        <v>1079.4700000000003</v>
      </c>
      <c r="AF815">
        <v>0.40348890234512258</v>
      </c>
      <c r="AG815" t="s">
        <v>2823</v>
      </c>
      <c r="AH815">
        <v>2025</v>
      </c>
      <c r="AI815" t="s">
        <v>2835</v>
      </c>
    </row>
    <row r="816" spans="1:35">
      <c r="A816" t="s">
        <v>2514</v>
      </c>
      <c r="B816">
        <v>45875</v>
      </c>
      <c r="C816">
        <v>45880</v>
      </c>
      <c r="D816" t="s">
        <v>2515</v>
      </c>
      <c r="E816" t="s">
        <v>53</v>
      </c>
      <c r="F816" t="s">
        <v>24</v>
      </c>
      <c r="G816" t="s">
        <v>63</v>
      </c>
      <c r="H816" t="s">
        <v>72</v>
      </c>
      <c r="I816" t="s">
        <v>73</v>
      </c>
      <c r="J816" t="s">
        <v>28</v>
      </c>
      <c r="K816" t="s">
        <v>91</v>
      </c>
      <c r="L816" t="s">
        <v>2516</v>
      </c>
      <c r="M816" t="s">
        <v>50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32</v>
      </c>
      <c r="U816" t="s">
        <v>33</v>
      </c>
      <c r="V816" t="s">
        <v>2834</v>
      </c>
      <c r="W816" t="s">
        <v>2834</v>
      </c>
      <c r="X816" t="s">
        <v>2834</v>
      </c>
      <c r="Y816" t="s">
        <v>2834</v>
      </c>
      <c r="Z816">
        <v>5</v>
      </c>
      <c r="AA816" t="s">
        <v>2789</v>
      </c>
      <c r="AB816">
        <v>0.25</v>
      </c>
      <c r="AC816" t="s">
        <v>2794</v>
      </c>
      <c r="AD816">
        <v>3563.91</v>
      </c>
      <c r="AE816">
        <v>924.21</v>
      </c>
      <c r="AF816">
        <v>0.25932473042248544</v>
      </c>
      <c r="AG816" t="s">
        <v>2827</v>
      </c>
      <c r="AH816">
        <v>2025</v>
      </c>
      <c r="AI816" t="s">
        <v>2835</v>
      </c>
    </row>
    <row r="817" spans="1:35">
      <c r="A817" t="s">
        <v>2517</v>
      </c>
      <c r="B817">
        <v>45383</v>
      </c>
      <c r="C817">
        <v>45390</v>
      </c>
      <c r="D817" t="s">
        <v>2518</v>
      </c>
      <c r="E817" t="s">
        <v>162</v>
      </c>
      <c r="F817" t="s">
        <v>24</v>
      </c>
      <c r="G817" t="s">
        <v>38</v>
      </c>
      <c r="H817" t="s">
        <v>39</v>
      </c>
      <c r="I817" t="s">
        <v>40</v>
      </c>
      <c r="J817" t="s">
        <v>74</v>
      </c>
      <c r="K817" t="s">
        <v>274</v>
      </c>
      <c r="L817" t="s">
        <v>2519</v>
      </c>
      <c r="M817" t="s">
        <v>59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111</v>
      </c>
      <c r="U817" t="s">
        <v>68</v>
      </c>
      <c r="V817" t="s">
        <v>2834</v>
      </c>
      <c r="W817" t="s">
        <v>2834</v>
      </c>
      <c r="X817" t="s">
        <v>2834</v>
      </c>
      <c r="Y817" t="s">
        <v>2834</v>
      </c>
      <c r="Z817">
        <v>7</v>
      </c>
      <c r="AA817" t="s">
        <v>2789</v>
      </c>
      <c r="AB817">
        <v>0.15</v>
      </c>
      <c r="AC817" t="s">
        <v>2794</v>
      </c>
      <c r="AD817">
        <v>4259.0694999999996</v>
      </c>
      <c r="AE817">
        <v>1128.7494999999994</v>
      </c>
      <c r="AF817">
        <v>0.26502255950507486</v>
      </c>
      <c r="AG817" t="s">
        <v>2823</v>
      </c>
      <c r="AH817">
        <v>2024</v>
      </c>
      <c r="AI817" t="s">
        <v>2835</v>
      </c>
    </row>
    <row r="818" spans="1:35">
      <c r="A818" t="s">
        <v>2520</v>
      </c>
      <c r="B818">
        <v>45623</v>
      </c>
      <c r="C818">
        <v>45626</v>
      </c>
      <c r="D818" t="s">
        <v>2521</v>
      </c>
      <c r="E818" t="s">
        <v>118</v>
      </c>
      <c r="F818" t="s">
        <v>37</v>
      </c>
      <c r="G818" t="s">
        <v>38</v>
      </c>
      <c r="H818" t="s">
        <v>228</v>
      </c>
      <c r="I818" t="s">
        <v>229</v>
      </c>
      <c r="J818" t="s">
        <v>41</v>
      </c>
      <c r="K818" t="s">
        <v>57</v>
      </c>
      <c r="L818" t="s">
        <v>2522</v>
      </c>
      <c r="M818" t="s">
        <v>50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32</v>
      </c>
      <c r="U818" t="s">
        <v>33</v>
      </c>
      <c r="V818" t="s">
        <v>2834</v>
      </c>
      <c r="W818" t="s">
        <v>2834</v>
      </c>
      <c r="X818" t="s">
        <v>2834</v>
      </c>
      <c r="Y818" t="s">
        <v>2834</v>
      </c>
      <c r="Z818">
        <v>3</v>
      </c>
      <c r="AA818" t="s">
        <v>2789</v>
      </c>
      <c r="AB818">
        <v>0.1</v>
      </c>
      <c r="AC818" t="s">
        <v>2794</v>
      </c>
      <c r="AD818">
        <v>786.87</v>
      </c>
      <c r="AE818">
        <v>288.37</v>
      </c>
      <c r="AF818">
        <v>0.36647730883119195</v>
      </c>
      <c r="AG818" t="s">
        <v>2830</v>
      </c>
      <c r="AH818">
        <v>2024</v>
      </c>
      <c r="AI818" t="s">
        <v>2835</v>
      </c>
    </row>
    <row r="819" spans="1:35">
      <c r="A819" t="s">
        <v>2523</v>
      </c>
      <c r="B819">
        <v>45752</v>
      </c>
      <c r="C819">
        <v>45752</v>
      </c>
      <c r="D819" t="s">
        <v>2524</v>
      </c>
      <c r="E819" t="s">
        <v>132</v>
      </c>
      <c r="F819" t="s">
        <v>24</v>
      </c>
      <c r="G819" t="s">
        <v>38</v>
      </c>
      <c r="H819" t="s">
        <v>145</v>
      </c>
      <c r="I819" t="s">
        <v>146</v>
      </c>
      <c r="J819" t="s">
        <v>28</v>
      </c>
      <c r="K819" t="s">
        <v>153</v>
      </c>
      <c r="L819" t="s">
        <v>2525</v>
      </c>
      <c r="M819" t="s">
        <v>59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32</v>
      </c>
      <c r="U819" t="s">
        <v>33</v>
      </c>
      <c r="V819" t="s">
        <v>2834</v>
      </c>
      <c r="W819" t="s">
        <v>2834</v>
      </c>
      <c r="X819" t="s">
        <v>2834</v>
      </c>
      <c r="Y819" t="s">
        <v>2834</v>
      </c>
      <c r="Z819">
        <v>0</v>
      </c>
      <c r="AA819" t="s">
        <v>2789</v>
      </c>
      <c r="AB819">
        <v>0.25</v>
      </c>
      <c r="AC819" t="s">
        <v>2794</v>
      </c>
      <c r="AD819">
        <v>8233.6049999999996</v>
      </c>
      <c r="AE819">
        <v>3519.8149999999996</v>
      </c>
      <c r="AF819">
        <v>0.42749378917254349</v>
      </c>
      <c r="AG819" t="s">
        <v>2823</v>
      </c>
      <c r="AH819">
        <v>2025</v>
      </c>
      <c r="AI819" t="s">
        <v>2835</v>
      </c>
    </row>
    <row r="820" spans="1:35">
      <c r="A820" t="s">
        <v>2526</v>
      </c>
      <c r="B820">
        <v>45564</v>
      </c>
      <c r="C820">
        <v>45570</v>
      </c>
      <c r="D820" t="s">
        <v>2527</v>
      </c>
      <c r="E820" t="s">
        <v>114</v>
      </c>
      <c r="F820" t="s">
        <v>37</v>
      </c>
      <c r="G820" t="s">
        <v>63</v>
      </c>
      <c r="H820" t="s">
        <v>64</v>
      </c>
      <c r="I820" t="s">
        <v>65</v>
      </c>
      <c r="J820" t="s">
        <v>28</v>
      </c>
      <c r="K820" t="s">
        <v>91</v>
      </c>
      <c r="L820" t="s">
        <v>2528</v>
      </c>
      <c r="M820" t="s">
        <v>50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32</v>
      </c>
      <c r="U820" t="s">
        <v>33</v>
      </c>
      <c r="V820" t="s">
        <v>2834</v>
      </c>
      <c r="W820" t="s">
        <v>2834</v>
      </c>
      <c r="X820" t="s">
        <v>2834</v>
      </c>
      <c r="Y820" t="s">
        <v>2834</v>
      </c>
      <c r="Z820">
        <v>6</v>
      </c>
      <c r="AA820" t="s">
        <v>2789</v>
      </c>
      <c r="AB820">
        <v>-0.14000000000000001</v>
      </c>
      <c r="AC820" t="s">
        <v>2795</v>
      </c>
      <c r="AD820">
        <v>18067.084800000001</v>
      </c>
      <c r="AE820">
        <v>7978.4348000000009</v>
      </c>
      <c r="AF820">
        <v>0.44160056192352631</v>
      </c>
      <c r="AG820" t="s">
        <v>2828</v>
      </c>
      <c r="AH820">
        <v>2024</v>
      </c>
      <c r="AI820" t="s">
        <v>2836</v>
      </c>
    </row>
    <row r="821" spans="1:35">
      <c r="A821" t="s">
        <v>2529</v>
      </c>
      <c r="B821">
        <v>45504</v>
      </c>
      <c r="C821">
        <v>45504</v>
      </c>
      <c r="D821" t="s">
        <v>2530</v>
      </c>
      <c r="E821" t="s">
        <v>23</v>
      </c>
      <c r="F821" t="s">
        <v>95</v>
      </c>
      <c r="G821" t="s">
        <v>54</v>
      </c>
      <c r="H821" t="s">
        <v>185</v>
      </c>
      <c r="I821" t="s">
        <v>186</v>
      </c>
      <c r="J821" t="s">
        <v>74</v>
      </c>
      <c r="K821" t="s">
        <v>274</v>
      </c>
      <c r="L821" t="s">
        <v>2531</v>
      </c>
      <c r="M821" t="s">
        <v>59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155</v>
      </c>
      <c r="U821" t="s">
        <v>68</v>
      </c>
      <c r="V821" t="s">
        <v>2834</v>
      </c>
      <c r="W821" t="s">
        <v>2834</v>
      </c>
      <c r="X821" t="s">
        <v>2834</v>
      </c>
      <c r="Y821" t="s">
        <v>2834</v>
      </c>
      <c r="Z821">
        <v>0</v>
      </c>
      <c r="AA821" t="s">
        <v>2789</v>
      </c>
      <c r="AB821">
        <v>0</v>
      </c>
      <c r="AC821" t="s">
        <v>2794</v>
      </c>
      <c r="AD821">
        <v>33968.080000000002</v>
      </c>
      <c r="AE821">
        <v>7065.6400000000031</v>
      </c>
      <c r="AF821">
        <v>0.20800822419165294</v>
      </c>
      <c r="AG821" t="s">
        <v>2826</v>
      </c>
      <c r="AH821">
        <v>2024</v>
      </c>
      <c r="AI821" t="s">
        <v>2835</v>
      </c>
    </row>
    <row r="822" spans="1:35">
      <c r="A822" t="s">
        <v>2532</v>
      </c>
      <c r="B822">
        <v>45694</v>
      </c>
      <c r="C822">
        <v>45698</v>
      </c>
      <c r="D822" t="s">
        <v>2533</v>
      </c>
      <c r="E822" t="s">
        <v>62</v>
      </c>
      <c r="F822" t="s">
        <v>95</v>
      </c>
      <c r="G822" t="s">
        <v>25</v>
      </c>
      <c r="H822" t="s">
        <v>136</v>
      </c>
      <c r="I822" t="s">
        <v>137</v>
      </c>
      <c r="J822" t="s">
        <v>41</v>
      </c>
      <c r="K822" t="s">
        <v>158</v>
      </c>
      <c r="L822" t="s">
        <v>2534</v>
      </c>
      <c r="M822" t="s">
        <v>59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32</v>
      </c>
      <c r="U822" t="s">
        <v>33</v>
      </c>
      <c r="V822" t="s">
        <v>2834</v>
      </c>
      <c r="W822" t="s">
        <v>2834</v>
      </c>
      <c r="X822" t="s">
        <v>2834</v>
      </c>
      <c r="Y822" t="s">
        <v>2834</v>
      </c>
      <c r="Z822">
        <v>4</v>
      </c>
      <c r="AA822" t="s">
        <v>2789</v>
      </c>
      <c r="AB822">
        <v>0.2</v>
      </c>
      <c r="AC822" t="s">
        <v>2794</v>
      </c>
      <c r="AD822">
        <v>511.31200000000001</v>
      </c>
      <c r="AE822">
        <v>74.882000000000005</v>
      </c>
      <c r="AF822">
        <v>0.14645069937728825</v>
      </c>
      <c r="AG822" t="s">
        <v>2821</v>
      </c>
      <c r="AH822">
        <v>2025</v>
      </c>
      <c r="AI822" t="s">
        <v>2835</v>
      </c>
    </row>
    <row r="823" spans="1:35">
      <c r="A823" t="s">
        <v>2535</v>
      </c>
      <c r="B823">
        <v>45476</v>
      </c>
      <c r="C823">
        <v>45479</v>
      </c>
      <c r="D823" t="s">
        <v>2536</v>
      </c>
      <c r="E823" t="s">
        <v>128</v>
      </c>
      <c r="F823" t="s">
        <v>90</v>
      </c>
      <c r="G823" t="s">
        <v>54</v>
      </c>
      <c r="H823" t="s">
        <v>175</v>
      </c>
      <c r="I823" t="s">
        <v>176</v>
      </c>
      <c r="J823" t="s">
        <v>74</v>
      </c>
      <c r="K823" t="s">
        <v>75</v>
      </c>
      <c r="L823" t="s">
        <v>2537</v>
      </c>
      <c r="M823" t="s">
        <v>50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32</v>
      </c>
      <c r="U823" t="s">
        <v>33</v>
      </c>
      <c r="V823" t="s">
        <v>2834</v>
      </c>
      <c r="W823" t="s">
        <v>2834</v>
      </c>
      <c r="X823" t="s">
        <v>2834</v>
      </c>
      <c r="Y823" t="s">
        <v>2834</v>
      </c>
      <c r="Z823">
        <v>3</v>
      </c>
      <c r="AA823" t="s">
        <v>2789</v>
      </c>
      <c r="AB823">
        <v>0.2</v>
      </c>
      <c r="AC823" t="s">
        <v>2794</v>
      </c>
      <c r="AD823">
        <v>10877.944000000001</v>
      </c>
      <c r="AE823">
        <v>1767.8040000000019</v>
      </c>
      <c r="AF823">
        <v>0.16251269541376584</v>
      </c>
      <c r="AG823" t="s">
        <v>2826</v>
      </c>
      <c r="AH823">
        <v>2024</v>
      </c>
      <c r="AI823" t="s">
        <v>2835</v>
      </c>
    </row>
    <row r="824" spans="1:35">
      <c r="A824" t="s">
        <v>2538</v>
      </c>
      <c r="B824">
        <v>45577</v>
      </c>
      <c r="C824">
        <v>45573</v>
      </c>
      <c r="D824" t="s">
        <v>2539</v>
      </c>
      <c r="E824" t="s">
        <v>36</v>
      </c>
      <c r="F824" t="s">
        <v>90</v>
      </c>
      <c r="G824" t="s">
        <v>38</v>
      </c>
      <c r="H824" t="s">
        <v>166</v>
      </c>
      <c r="I824" t="s">
        <v>167</v>
      </c>
      <c r="J824" t="s">
        <v>41</v>
      </c>
      <c r="K824" t="s">
        <v>57</v>
      </c>
      <c r="L824" t="s">
        <v>2540</v>
      </c>
      <c r="M824" t="s">
        <v>31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111</v>
      </c>
      <c r="U824" t="s">
        <v>103</v>
      </c>
      <c r="V824" t="s">
        <v>2834</v>
      </c>
      <c r="W824" t="s">
        <v>2834</v>
      </c>
      <c r="X824" t="s">
        <v>2834</v>
      </c>
      <c r="Y824" t="s">
        <v>2837</v>
      </c>
      <c r="Z824">
        <v>-4</v>
      </c>
      <c r="AA824" t="s">
        <v>2789</v>
      </c>
      <c r="AB824">
        <v>0.2</v>
      </c>
      <c r="AC824" t="s">
        <v>2794</v>
      </c>
      <c r="AD824">
        <v>10246.528</v>
      </c>
      <c r="AE824">
        <v>1612.1080000000002</v>
      </c>
      <c r="AF824">
        <v>0.15733212264681268</v>
      </c>
      <c r="AG824" t="s">
        <v>2829</v>
      </c>
      <c r="AH824">
        <v>2024</v>
      </c>
      <c r="AI824" t="s">
        <v>2836</v>
      </c>
    </row>
    <row r="825" spans="1:35">
      <c r="A825" t="s">
        <v>2541</v>
      </c>
      <c r="B825">
        <v>45663</v>
      </c>
      <c r="C825">
        <v>45669</v>
      </c>
      <c r="D825" t="s">
        <v>2542</v>
      </c>
      <c r="E825" t="s">
        <v>36</v>
      </c>
      <c r="F825" t="s">
        <v>95</v>
      </c>
      <c r="G825" t="s">
        <v>63</v>
      </c>
      <c r="H825" t="s">
        <v>190</v>
      </c>
      <c r="I825" t="s">
        <v>191</v>
      </c>
      <c r="J825" t="s">
        <v>28</v>
      </c>
      <c r="K825" t="s">
        <v>29</v>
      </c>
      <c r="L825" t="s">
        <v>2543</v>
      </c>
      <c r="M825" t="s">
        <v>44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32</v>
      </c>
      <c r="U825" t="s">
        <v>33</v>
      </c>
      <c r="V825" t="s">
        <v>2834</v>
      </c>
      <c r="W825" t="s">
        <v>2834</v>
      </c>
      <c r="X825" t="s">
        <v>2834</v>
      </c>
      <c r="Y825" t="s">
        <v>2834</v>
      </c>
      <c r="Z825">
        <v>6</v>
      </c>
      <c r="AA825" t="s">
        <v>2789</v>
      </c>
      <c r="AB825">
        <v>0.15</v>
      </c>
      <c r="AC825" t="s">
        <v>2794</v>
      </c>
      <c r="AD825">
        <v>1704.2415000000001</v>
      </c>
      <c r="AE825">
        <v>746.69150000000013</v>
      </c>
      <c r="AF825">
        <v>0.43813714194848563</v>
      </c>
      <c r="AG825" t="s">
        <v>2820</v>
      </c>
      <c r="AH825">
        <v>2025</v>
      </c>
      <c r="AI825" t="s">
        <v>2835</v>
      </c>
    </row>
    <row r="826" spans="1:35">
      <c r="A826" t="s">
        <v>2544</v>
      </c>
      <c r="B826">
        <v>45737</v>
      </c>
      <c r="C826">
        <v>45738</v>
      </c>
      <c r="D826" t="s">
        <v>2545</v>
      </c>
      <c r="E826" t="s">
        <v>114</v>
      </c>
      <c r="F826" t="s">
        <v>24</v>
      </c>
      <c r="G826" t="s">
        <v>63</v>
      </c>
      <c r="H826" t="s">
        <v>190</v>
      </c>
      <c r="I826" t="s">
        <v>191</v>
      </c>
      <c r="J826" t="s">
        <v>28</v>
      </c>
      <c r="K826" t="s">
        <v>29</v>
      </c>
      <c r="L826" t="s">
        <v>2546</v>
      </c>
      <c r="M826" t="s">
        <v>50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32</v>
      </c>
      <c r="U826" t="s">
        <v>33</v>
      </c>
      <c r="V826" t="s">
        <v>2834</v>
      </c>
      <c r="W826" t="s">
        <v>2834</v>
      </c>
      <c r="X826" t="s">
        <v>2834</v>
      </c>
      <c r="Y826" t="s">
        <v>2834</v>
      </c>
      <c r="Z826">
        <v>1</v>
      </c>
      <c r="AA826" t="s">
        <v>2789</v>
      </c>
      <c r="AB826">
        <v>0.05</v>
      </c>
      <c r="AC826" t="s">
        <v>2794</v>
      </c>
      <c r="AD826">
        <v>33719.223999999995</v>
      </c>
      <c r="AE826">
        <v>4794.7939999999944</v>
      </c>
      <c r="AF826">
        <v>0.14219763776295669</v>
      </c>
      <c r="AG826" t="s">
        <v>2822</v>
      </c>
      <c r="AH826">
        <v>2025</v>
      </c>
      <c r="AI826" t="s">
        <v>2835</v>
      </c>
    </row>
    <row r="827" spans="1:35">
      <c r="A827" t="s">
        <v>2547</v>
      </c>
      <c r="B827">
        <v>45763</v>
      </c>
      <c r="C827">
        <v>45764</v>
      </c>
      <c r="D827" t="s">
        <v>2548</v>
      </c>
      <c r="E827" t="s">
        <v>71</v>
      </c>
      <c r="F827" t="s">
        <v>37</v>
      </c>
      <c r="G827" t="s">
        <v>25</v>
      </c>
      <c r="H827" t="s">
        <v>136</v>
      </c>
      <c r="I827" t="s">
        <v>137</v>
      </c>
      <c r="J827" t="s">
        <v>74</v>
      </c>
      <c r="K827" t="s">
        <v>274</v>
      </c>
      <c r="L827" t="s">
        <v>2549</v>
      </c>
      <c r="M827" t="s">
        <v>50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32</v>
      </c>
      <c r="U827" t="s">
        <v>33</v>
      </c>
      <c r="V827" t="s">
        <v>2834</v>
      </c>
      <c r="W827" t="s">
        <v>2834</v>
      </c>
      <c r="X827" t="s">
        <v>2834</v>
      </c>
      <c r="Y827" t="s">
        <v>2834</v>
      </c>
      <c r="Z827">
        <v>1</v>
      </c>
      <c r="AA827" t="s">
        <v>2789</v>
      </c>
      <c r="AB827">
        <v>0</v>
      </c>
      <c r="AC827" t="s">
        <v>2794</v>
      </c>
      <c r="AD827">
        <v>2720.17</v>
      </c>
      <c r="AE827">
        <v>885.94</v>
      </c>
      <c r="AF827">
        <v>0.3256928794891496</v>
      </c>
      <c r="AG827" t="s">
        <v>2823</v>
      </c>
      <c r="AH827">
        <v>2025</v>
      </c>
      <c r="AI827" t="s">
        <v>2835</v>
      </c>
    </row>
    <row r="828" spans="1:35">
      <c r="A828" t="s">
        <v>2550</v>
      </c>
      <c r="B828">
        <v>45879</v>
      </c>
      <c r="C828">
        <v>45883</v>
      </c>
      <c r="D828" t="s">
        <v>2551</v>
      </c>
      <c r="E828" t="s">
        <v>89</v>
      </c>
      <c r="F828" t="s">
        <v>24</v>
      </c>
      <c r="G828" t="s">
        <v>63</v>
      </c>
      <c r="H828" t="s">
        <v>26</v>
      </c>
      <c r="I828" t="s">
        <v>109</v>
      </c>
      <c r="J828" t="s">
        <v>74</v>
      </c>
      <c r="K828" t="s">
        <v>75</v>
      </c>
      <c r="L828" t="s">
        <v>2552</v>
      </c>
      <c r="M828" t="s">
        <v>59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32</v>
      </c>
      <c r="U828" t="s">
        <v>33</v>
      </c>
      <c r="V828" t="s">
        <v>2834</v>
      </c>
      <c r="W828" t="s">
        <v>2834</v>
      </c>
      <c r="X828" t="s">
        <v>2834</v>
      </c>
      <c r="Y828" t="s">
        <v>2834</v>
      </c>
      <c r="Z828">
        <v>4</v>
      </c>
      <c r="AA828" t="s">
        <v>2789</v>
      </c>
      <c r="AB828">
        <v>0.25</v>
      </c>
      <c r="AC828" t="s">
        <v>2794</v>
      </c>
      <c r="AD828">
        <v>8213.0249999999996</v>
      </c>
      <c r="AE828">
        <v>2643.7249999999995</v>
      </c>
      <c r="AF828">
        <v>0.32189418636860345</v>
      </c>
      <c r="AG828" t="s">
        <v>2827</v>
      </c>
      <c r="AH828">
        <v>2025</v>
      </c>
      <c r="AI828" t="s">
        <v>2835</v>
      </c>
    </row>
    <row r="829" spans="1:35">
      <c r="A829" t="s">
        <v>2553</v>
      </c>
      <c r="B829">
        <v>45620</v>
      </c>
      <c r="C829">
        <v>45627</v>
      </c>
      <c r="D829" t="s">
        <v>2554</v>
      </c>
      <c r="E829" t="s">
        <v>114</v>
      </c>
      <c r="F829" t="s">
        <v>95</v>
      </c>
      <c r="G829" t="s">
        <v>54</v>
      </c>
      <c r="H829" t="s">
        <v>247</v>
      </c>
      <c r="I829" t="s">
        <v>248</v>
      </c>
      <c r="J829" t="s">
        <v>28</v>
      </c>
      <c r="K829" t="s">
        <v>29</v>
      </c>
      <c r="L829" t="s">
        <v>2555</v>
      </c>
      <c r="M829" t="s">
        <v>44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32</v>
      </c>
      <c r="U829" t="s">
        <v>68</v>
      </c>
      <c r="V829" t="s">
        <v>2834</v>
      </c>
      <c r="W829" t="s">
        <v>2834</v>
      </c>
      <c r="X829" t="s">
        <v>2834</v>
      </c>
      <c r="Y829" t="s">
        <v>2834</v>
      </c>
      <c r="Z829">
        <v>7</v>
      </c>
      <c r="AA829" t="s">
        <v>2789</v>
      </c>
      <c r="AB829">
        <v>0.25</v>
      </c>
      <c r="AC829" t="s">
        <v>2794</v>
      </c>
      <c r="AD829">
        <v>633.66750000000002</v>
      </c>
      <c r="AE829">
        <v>113.19749999999999</v>
      </c>
      <c r="AF829">
        <v>0.17863863934950111</v>
      </c>
      <c r="AG829" t="s">
        <v>2830</v>
      </c>
      <c r="AH829">
        <v>2024</v>
      </c>
      <c r="AI829" t="s">
        <v>2835</v>
      </c>
    </row>
    <row r="830" spans="1:35">
      <c r="A830" t="s">
        <v>2556</v>
      </c>
      <c r="B830">
        <v>45940</v>
      </c>
      <c r="C830">
        <v>45941</v>
      </c>
      <c r="D830" t="s">
        <v>2557</v>
      </c>
      <c r="E830" t="s">
        <v>23</v>
      </c>
      <c r="F830" t="s">
        <v>90</v>
      </c>
      <c r="G830" t="s">
        <v>38</v>
      </c>
      <c r="H830" t="s">
        <v>39</v>
      </c>
      <c r="I830" t="s">
        <v>40</v>
      </c>
      <c r="J830" t="s">
        <v>41</v>
      </c>
      <c r="K830" t="s">
        <v>66</v>
      </c>
      <c r="L830" t="s">
        <v>2558</v>
      </c>
      <c r="M830" t="s">
        <v>31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155</v>
      </c>
      <c r="U830" t="s">
        <v>68</v>
      </c>
      <c r="V830" t="s">
        <v>2834</v>
      </c>
      <c r="W830" t="s">
        <v>2834</v>
      </c>
      <c r="X830" t="s">
        <v>2834</v>
      </c>
      <c r="Y830" t="s">
        <v>2834</v>
      </c>
      <c r="Z830">
        <v>1</v>
      </c>
      <c r="AA830" t="s">
        <v>2789</v>
      </c>
      <c r="AB830">
        <v>0.05</v>
      </c>
      <c r="AC830" t="s">
        <v>2794</v>
      </c>
      <c r="AD830">
        <v>25216.534</v>
      </c>
      <c r="AE830">
        <v>10999.593999999999</v>
      </c>
      <c r="AF830">
        <v>0.4362056260388521</v>
      </c>
      <c r="AG830" t="s">
        <v>2829</v>
      </c>
      <c r="AH830">
        <v>2025</v>
      </c>
      <c r="AI830" t="s">
        <v>2835</v>
      </c>
    </row>
    <row r="831" spans="1:35">
      <c r="A831" t="s">
        <v>2559</v>
      </c>
      <c r="B831">
        <v>45348</v>
      </c>
      <c r="C831">
        <v>45350</v>
      </c>
      <c r="D831" t="s">
        <v>2560</v>
      </c>
      <c r="E831" t="s">
        <v>89</v>
      </c>
      <c r="F831" t="s">
        <v>37</v>
      </c>
      <c r="G831" t="s">
        <v>63</v>
      </c>
      <c r="H831" t="s">
        <v>190</v>
      </c>
      <c r="I831" t="s">
        <v>191</v>
      </c>
      <c r="J831" t="s">
        <v>41</v>
      </c>
      <c r="K831" t="s">
        <v>57</v>
      </c>
      <c r="L831" t="s">
        <v>2561</v>
      </c>
      <c r="M831" t="s">
        <v>31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32</v>
      </c>
      <c r="U831" t="s">
        <v>33</v>
      </c>
      <c r="V831" t="s">
        <v>2834</v>
      </c>
      <c r="W831" t="s">
        <v>2834</v>
      </c>
      <c r="X831" t="s">
        <v>2834</v>
      </c>
      <c r="Y831" t="s">
        <v>2834</v>
      </c>
      <c r="Z831">
        <v>2</v>
      </c>
      <c r="AA831" t="s">
        <v>2789</v>
      </c>
      <c r="AB831">
        <v>0.1</v>
      </c>
      <c r="AC831" t="s">
        <v>2794</v>
      </c>
      <c r="AD831">
        <v>6521.3820000000005</v>
      </c>
      <c r="AE831">
        <v>2010.2820000000002</v>
      </c>
      <c r="AF831">
        <v>0.30826012032418892</v>
      </c>
      <c r="AG831" t="s">
        <v>2821</v>
      </c>
      <c r="AH831">
        <v>2024</v>
      </c>
      <c r="AI831" t="s">
        <v>2835</v>
      </c>
    </row>
    <row r="832" spans="1:35">
      <c r="A832" t="s">
        <v>2562</v>
      </c>
      <c r="B832">
        <v>45853</v>
      </c>
      <c r="C832">
        <v>45856</v>
      </c>
      <c r="D832" t="s">
        <v>2563</v>
      </c>
      <c r="E832" t="s">
        <v>89</v>
      </c>
      <c r="F832" t="s">
        <v>37</v>
      </c>
      <c r="G832" t="s">
        <v>2791</v>
      </c>
      <c r="H832" t="s">
        <v>247</v>
      </c>
      <c r="I832" t="s">
        <v>248</v>
      </c>
      <c r="J832" t="s">
        <v>74</v>
      </c>
      <c r="K832" t="s">
        <v>274</v>
      </c>
      <c r="L832" t="s">
        <v>2564</v>
      </c>
      <c r="M832" t="s">
        <v>50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32</v>
      </c>
      <c r="U832" t="s">
        <v>33</v>
      </c>
      <c r="V832" t="s">
        <v>2834</v>
      </c>
      <c r="W832" t="s">
        <v>2834</v>
      </c>
      <c r="X832" t="s">
        <v>2834</v>
      </c>
      <c r="Y832" t="s">
        <v>2834</v>
      </c>
      <c r="Z832">
        <v>3</v>
      </c>
      <c r="AA832" t="s">
        <v>2789</v>
      </c>
      <c r="AB832">
        <v>0.1</v>
      </c>
      <c r="AC832" t="s">
        <v>2794</v>
      </c>
      <c r="AD832">
        <v>12867.552000000001</v>
      </c>
      <c r="AE832">
        <v>2798.612000000001</v>
      </c>
      <c r="AF832">
        <v>0.21749373929089236</v>
      </c>
      <c r="AG832" t="s">
        <v>2826</v>
      </c>
      <c r="AH832">
        <v>2025</v>
      </c>
      <c r="AI832" t="s">
        <v>2838</v>
      </c>
    </row>
    <row r="833" spans="1:35">
      <c r="A833" t="s">
        <v>2565</v>
      </c>
      <c r="B833">
        <v>45750</v>
      </c>
      <c r="C833">
        <v>45750</v>
      </c>
      <c r="D833" t="s">
        <v>2566</v>
      </c>
      <c r="E833" t="s">
        <v>162</v>
      </c>
      <c r="F833" t="s">
        <v>95</v>
      </c>
      <c r="G833" t="s">
        <v>2791</v>
      </c>
      <c r="H833" t="s">
        <v>236</v>
      </c>
      <c r="I833" t="s">
        <v>237</v>
      </c>
      <c r="J833" t="s">
        <v>41</v>
      </c>
      <c r="K833" t="s">
        <v>66</v>
      </c>
      <c r="L833" t="s">
        <v>2567</v>
      </c>
      <c r="M833" t="s">
        <v>50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155</v>
      </c>
      <c r="U833" t="s">
        <v>103</v>
      </c>
      <c r="V833" t="s">
        <v>2834</v>
      </c>
      <c r="W833" t="s">
        <v>2834</v>
      </c>
      <c r="X833" t="s">
        <v>2834</v>
      </c>
      <c r="Y833" t="s">
        <v>2834</v>
      </c>
      <c r="Z833">
        <v>0</v>
      </c>
      <c r="AA833" t="s">
        <v>2789</v>
      </c>
      <c r="AB833">
        <v>0.15</v>
      </c>
      <c r="AC833" t="s">
        <v>2794</v>
      </c>
      <c r="AD833">
        <v>26489.654999999999</v>
      </c>
      <c r="AE833">
        <v>10671.195</v>
      </c>
      <c r="AF833">
        <v>0.40284386489744772</v>
      </c>
      <c r="AG833" t="s">
        <v>2823</v>
      </c>
      <c r="AH833">
        <v>2025</v>
      </c>
      <c r="AI833" t="s">
        <v>2838</v>
      </c>
    </row>
    <row r="834" spans="1:35">
      <c r="A834" t="s">
        <v>2568</v>
      </c>
      <c r="B834">
        <v>45803</v>
      </c>
      <c r="C834">
        <v>45805</v>
      </c>
      <c r="D834" t="s">
        <v>2569</v>
      </c>
      <c r="E834" t="s">
        <v>264</v>
      </c>
      <c r="F834" t="s">
        <v>37</v>
      </c>
      <c r="G834" t="s">
        <v>54</v>
      </c>
      <c r="H834" t="s">
        <v>84</v>
      </c>
      <c r="I834" t="s">
        <v>85</v>
      </c>
      <c r="J834" t="s">
        <v>74</v>
      </c>
      <c r="K834" t="s">
        <v>171</v>
      </c>
      <c r="L834" t="s">
        <v>2570</v>
      </c>
      <c r="M834" t="s">
        <v>31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32</v>
      </c>
      <c r="U834" t="s">
        <v>33</v>
      </c>
      <c r="V834" t="s">
        <v>2834</v>
      </c>
      <c r="W834" t="s">
        <v>2834</v>
      </c>
      <c r="X834" t="s">
        <v>2834</v>
      </c>
      <c r="Y834" t="s">
        <v>2834</v>
      </c>
      <c r="Z834">
        <v>2</v>
      </c>
      <c r="AA834" t="s">
        <v>2789</v>
      </c>
      <c r="AB834">
        <v>0.05</v>
      </c>
      <c r="AC834" t="s">
        <v>2794</v>
      </c>
      <c r="AD834">
        <v>36782.271000000008</v>
      </c>
      <c r="AE834">
        <v>10879.461000000007</v>
      </c>
      <c r="AF834">
        <v>0.29578002402298664</v>
      </c>
      <c r="AG834" t="s">
        <v>2824</v>
      </c>
      <c r="AH834">
        <v>2025</v>
      </c>
      <c r="AI834" t="s">
        <v>2835</v>
      </c>
    </row>
    <row r="835" spans="1:35">
      <c r="A835" t="s">
        <v>2571</v>
      </c>
      <c r="B835">
        <v>45447</v>
      </c>
      <c r="C835">
        <v>45447</v>
      </c>
      <c r="D835" t="s">
        <v>2572</v>
      </c>
      <c r="E835" t="s">
        <v>118</v>
      </c>
      <c r="F835" t="s">
        <v>95</v>
      </c>
      <c r="G835" t="s">
        <v>38</v>
      </c>
      <c r="H835" t="s">
        <v>99</v>
      </c>
      <c r="I835" t="s">
        <v>100</v>
      </c>
      <c r="J835" t="s">
        <v>41</v>
      </c>
      <c r="K835" t="s">
        <v>158</v>
      </c>
      <c r="L835" t="s">
        <v>2573</v>
      </c>
      <c r="M835" t="s">
        <v>50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32</v>
      </c>
      <c r="U835" t="s">
        <v>33</v>
      </c>
      <c r="V835" t="s">
        <v>2834</v>
      </c>
      <c r="W835" t="s">
        <v>2834</v>
      </c>
      <c r="X835" t="s">
        <v>2834</v>
      </c>
      <c r="Y835" t="s">
        <v>2834</v>
      </c>
      <c r="Z835">
        <v>0</v>
      </c>
      <c r="AA835" t="s">
        <v>2789</v>
      </c>
      <c r="AB835">
        <v>0</v>
      </c>
      <c r="AC835" t="s">
        <v>2794</v>
      </c>
      <c r="AD835">
        <v>23696.400000000001</v>
      </c>
      <c r="AE835">
        <v>5586.630000000001</v>
      </c>
      <c r="AF835">
        <v>0.23575859624246723</v>
      </c>
      <c r="AG835" t="s">
        <v>2825</v>
      </c>
      <c r="AH835">
        <v>2024</v>
      </c>
      <c r="AI835" t="s">
        <v>2835</v>
      </c>
    </row>
    <row r="836" spans="1:35">
      <c r="A836" t="s">
        <v>2574</v>
      </c>
      <c r="B836">
        <v>45583</v>
      </c>
      <c r="C836">
        <v>45587</v>
      </c>
      <c r="D836" t="s">
        <v>2575</v>
      </c>
      <c r="E836" t="s">
        <v>128</v>
      </c>
      <c r="F836" t="s">
        <v>95</v>
      </c>
      <c r="G836" t="s">
        <v>54</v>
      </c>
      <c r="H836" t="s">
        <v>55</v>
      </c>
      <c r="I836" t="s">
        <v>56</v>
      </c>
      <c r="J836" t="s">
        <v>28</v>
      </c>
      <c r="K836" t="s">
        <v>48</v>
      </c>
      <c r="L836" t="s">
        <v>2576</v>
      </c>
      <c r="M836" t="s">
        <v>50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32</v>
      </c>
      <c r="U836" t="s">
        <v>33</v>
      </c>
      <c r="V836" t="s">
        <v>2834</v>
      </c>
      <c r="W836" t="s">
        <v>2834</v>
      </c>
      <c r="X836" t="s">
        <v>2834</v>
      </c>
      <c r="Y836" t="s">
        <v>2834</v>
      </c>
      <c r="Z836">
        <v>4</v>
      </c>
      <c r="AA836" t="s">
        <v>2789</v>
      </c>
      <c r="AB836">
        <v>0</v>
      </c>
      <c r="AC836" t="s">
        <v>2794</v>
      </c>
      <c r="AD836">
        <v>4047.66</v>
      </c>
      <c r="AE836">
        <v>968.73</v>
      </c>
      <c r="AF836">
        <v>0.23933087265234729</v>
      </c>
      <c r="AG836" t="s">
        <v>2829</v>
      </c>
      <c r="AH836">
        <v>2024</v>
      </c>
      <c r="AI836" t="s">
        <v>2835</v>
      </c>
    </row>
    <row r="837" spans="1:35">
      <c r="A837" t="s">
        <v>2577</v>
      </c>
      <c r="B837">
        <v>45926</v>
      </c>
      <c r="C837">
        <v>45934</v>
      </c>
      <c r="D837" t="s">
        <v>2578</v>
      </c>
      <c r="E837" t="s">
        <v>114</v>
      </c>
      <c r="F837" t="s">
        <v>37</v>
      </c>
      <c r="G837" t="s">
        <v>38</v>
      </c>
      <c r="H837" t="s">
        <v>166</v>
      </c>
      <c r="I837" t="s">
        <v>167</v>
      </c>
      <c r="J837" t="s">
        <v>74</v>
      </c>
      <c r="K837" t="s">
        <v>171</v>
      </c>
      <c r="L837" t="s">
        <v>2579</v>
      </c>
      <c r="M837" t="s">
        <v>31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32</v>
      </c>
      <c r="U837" t="s">
        <v>33</v>
      </c>
      <c r="V837" t="s">
        <v>2834</v>
      </c>
      <c r="W837" t="s">
        <v>2834</v>
      </c>
      <c r="X837" t="s">
        <v>2834</v>
      </c>
      <c r="Y837" t="s">
        <v>2834</v>
      </c>
      <c r="Z837">
        <v>8</v>
      </c>
      <c r="AA837" t="s">
        <v>2789</v>
      </c>
      <c r="AB837">
        <v>0.05</v>
      </c>
      <c r="AC837" t="s">
        <v>2794</v>
      </c>
      <c r="AD837">
        <v>10038.773499999999</v>
      </c>
      <c r="AE837">
        <v>4365.673499999999</v>
      </c>
      <c r="AF837">
        <v>0.43488116352062323</v>
      </c>
      <c r="AG837" t="s">
        <v>2828</v>
      </c>
      <c r="AH837">
        <v>2025</v>
      </c>
      <c r="AI837" t="s">
        <v>2835</v>
      </c>
    </row>
    <row r="838" spans="1:35">
      <c r="A838" t="s">
        <v>2580</v>
      </c>
      <c r="B838">
        <v>45641</v>
      </c>
      <c r="C838">
        <v>45644</v>
      </c>
      <c r="D838" t="s">
        <v>2581</v>
      </c>
      <c r="E838" t="s">
        <v>47</v>
      </c>
      <c r="F838" t="s">
        <v>37</v>
      </c>
      <c r="G838" t="s">
        <v>25</v>
      </c>
      <c r="H838" t="s">
        <v>26</v>
      </c>
      <c r="I838" t="s">
        <v>27</v>
      </c>
      <c r="J838" t="s">
        <v>28</v>
      </c>
      <c r="K838" t="s">
        <v>91</v>
      </c>
      <c r="L838" t="s">
        <v>2582</v>
      </c>
      <c r="M838" t="s">
        <v>31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32</v>
      </c>
      <c r="U838" t="s">
        <v>33</v>
      </c>
      <c r="V838" t="s">
        <v>2834</v>
      </c>
      <c r="W838" t="s">
        <v>2834</v>
      </c>
      <c r="X838" t="s">
        <v>2834</v>
      </c>
      <c r="Y838" t="s">
        <v>2834</v>
      </c>
      <c r="Z838">
        <v>3</v>
      </c>
      <c r="AA838" t="s">
        <v>2789</v>
      </c>
      <c r="AB838">
        <v>0</v>
      </c>
      <c r="AC838" t="s">
        <v>2794</v>
      </c>
      <c r="AD838">
        <v>1074.22</v>
      </c>
      <c r="AE838">
        <v>223.36</v>
      </c>
      <c r="AF838">
        <v>0.20792761259332354</v>
      </c>
      <c r="AG838" t="s">
        <v>2831</v>
      </c>
      <c r="AH838">
        <v>2024</v>
      </c>
      <c r="AI838" t="s">
        <v>2835</v>
      </c>
    </row>
    <row r="839" spans="1:35">
      <c r="A839" t="s">
        <v>2583</v>
      </c>
      <c r="B839">
        <v>45927</v>
      </c>
      <c r="C839">
        <v>45928</v>
      </c>
      <c r="D839" t="s">
        <v>2584</v>
      </c>
      <c r="E839" t="s">
        <v>23</v>
      </c>
      <c r="F839" t="s">
        <v>95</v>
      </c>
      <c r="G839" t="s">
        <v>63</v>
      </c>
      <c r="H839" t="s">
        <v>64</v>
      </c>
      <c r="I839" t="s">
        <v>65</v>
      </c>
      <c r="J839" t="s">
        <v>28</v>
      </c>
      <c r="K839" t="s">
        <v>29</v>
      </c>
      <c r="L839" t="s">
        <v>2585</v>
      </c>
      <c r="M839" t="s">
        <v>50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32</v>
      </c>
      <c r="U839" t="s">
        <v>33</v>
      </c>
      <c r="V839" t="s">
        <v>2834</v>
      </c>
      <c r="W839" t="s">
        <v>2834</v>
      </c>
      <c r="X839" t="s">
        <v>2834</v>
      </c>
      <c r="Y839" t="s">
        <v>2834</v>
      </c>
      <c r="Z839">
        <v>1</v>
      </c>
      <c r="AA839" t="s">
        <v>2789</v>
      </c>
      <c r="AB839">
        <v>0.25</v>
      </c>
      <c r="AC839" t="s">
        <v>2794</v>
      </c>
      <c r="AD839">
        <v>9399.6674999999996</v>
      </c>
      <c r="AE839">
        <v>2859.2974999999997</v>
      </c>
      <c r="AF839">
        <v>0.30419134506619516</v>
      </c>
      <c r="AG839" t="s">
        <v>2828</v>
      </c>
      <c r="AH839">
        <v>2025</v>
      </c>
      <c r="AI839" t="s">
        <v>2835</v>
      </c>
    </row>
    <row r="840" spans="1:35">
      <c r="A840" t="s">
        <v>2586</v>
      </c>
      <c r="B840">
        <v>45750</v>
      </c>
      <c r="C840">
        <v>45754</v>
      </c>
      <c r="D840" t="s">
        <v>2587</v>
      </c>
      <c r="E840" t="s">
        <v>62</v>
      </c>
      <c r="F840" t="s">
        <v>37</v>
      </c>
      <c r="G840" t="s">
        <v>63</v>
      </c>
      <c r="H840" t="s">
        <v>190</v>
      </c>
      <c r="I840" t="s">
        <v>191</v>
      </c>
      <c r="J840" t="s">
        <v>28</v>
      </c>
      <c r="K840" t="s">
        <v>29</v>
      </c>
      <c r="L840" t="s">
        <v>2588</v>
      </c>
      <c r="M840" t="s">
        <v>44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32</v>
      </c>
      <c r="U840" t="s">
        <v>103</v>
      </c>
      <c r="V840" t="s">
        <v>2834</v>
      </c>
      <c r="W840" t="s">
        <v>2834</v>
      </c>
      <c r="X840" t="s">
        <v>2834</v>
      </c>
      <c r="Y840" t="s">
        <v>2834</v>
      </c>
      <c r="Z840">
        <v>4</v>
      </c>
      <c r="AA840" t="s">
        <v>2789</v>
      </c>
      <c r="AB840">
        <v>0</v>
      </c>
      <c r="AC840" t="s">
        <v>2794</v>
      </c>
      <c r="AD840">
        <v>1470.57</v>
      </c>
      <c r="AE840">
        <v>636.54999999999995</v>
      </c>
      <c r="AF840">
        <v>0.43285936745615644</v>
      </c>
      <c r="AG840" t="s">
        <v>2823</v>
      </c>
      <c r="AH840">
        <v>2025</v>
      </c>
      <c r="AI840" t="s">
        <v>2835</v>
      </c>
    </row>
    <row r="841" spans="1:35">
      <c r="A841" t="s">
        <v>2589</v>
      </c>
      <c r="B841">
        <v>45555</v>
      </c>
      <c r="C841">
        <v>45557</v>
      </c>
      <c r="D841" t="s">
        <v>2590</v>
      </c>
      <c r="E841" t="s">
        <v>141</v>
      </c>
      <c r="F841" t="s">
        <v>95</v>
      </c>
      <c r="G841" t="s">
        <v>38</v>
      </c>
      <c r="H841" t="s">
        <v>39</v>
      </c>
      <c r="I841" t="s">
        <v>40</v>
      </c>
      <c r="J841" t="s">
        <v>74</v>
      </c>
      <c r="K841" t="s">
        <v>171</v>
      </c>
      <c r="L841" t="s">
        <v>2591</v>
      </c>
      <c r="M841" t="s">
        <v>59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32</v>
      </c>
      <c r="U841" t="s">
        <v>33</v>
      </c>
      <c r="V841" t="s">
        <v>2834</v>
      </c>
      <c r="W841" t="s">
        <v>2834</v>
      </c>
      <c r="X841" t="s">
        <v>2834</v>
      </c>
      <c r="Y841" t="s">
        <v>2834</v>
      </c>
      <c r="Z841">
        <v>2</v>
      </c>
      <c r="AA841" t="s">
        <v>2789</v>
      </c>
      <c r="AB841">
        <v>0.1</v>
      </c>
      <c r="AC841" t="s">
        <v>2794</v>
      </c>
      <c r="AD841">
        <v>3826.2959999999998</v>
      </c>
      <c r="AE841">
        <v>1632.1759999999999</v>
      </c>
      <c r="AF841">
        <v>0.42656814841298218</v>
      </c>
      <c r="AG841" t="s">
        <v>2828</v>
      </c>
      <c r="AH841">
        <v>2024</v>
      </c>
      <c r="AI841" t="s">
        <v>2835</v>
      </c>
    </row>
    <row r="842" spans="1:35">
      <c r="A842" t="s">
        <v>2592</v>
      </c>
      <c r="B842">
        <v>45919</v>
      </c>
      <c r="C842">
        <v>45919</v>
      </c>
      <c r="D842" t="s">
        <v>2593</v>
      </c>
      <c r="E842" t="s">
        <v>79</v>
      </c>
      <c r="F842" t="s">
        <v>95</v>
      </c>
      <c r="G842" t="s">
        <v>25</v>
      </c>
      <c r="H842" t="s">
        <v>350</v>
      </c>
      <c r="I842" t="s">
        <v>351</v>
      </c>
      <c r="J842" t="s">
        <v>41</v>
      </c>
      <c r="K842" t="s">
        <v>66</v>
      </c>
      <c r="L842" t="s">
        <v>2594</v>
      </c>
      <c r="M842" t="s">
        <v>44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32</v>
      </c>
      <c r="U842" t="s">
        <v>33</v>
      </c>
      <c r="V842" t="s">
        <v>2834</v>
      </c>
      <c r="W842" t="s">
        <v>2834</v>
      </c>
      <c r="X842" t="s">
        <v>2834</v>
      </c>
      <c r="Y842" t="s">
        <v>2834</v>
      </c>
      <c r="Z842">
        <v>0</v>
      </c>
      <c r="AA842" t="s">
        <v>2789</v>
      </c>
      <c r="AB842">
        <v>0</v>
      </c>
      <c r="AC842" t="s">
        <v>2794</v>
      </c>
      <c r="AD842">
        <v>6336.44</v>
      </c>
      <c r="AE842">
        <v>1655.7599999999993</v>
      </c>
      <c r="AF842">
        <v>0.26130761121386764</v>
      </c>
      <c r="AG842" t="s">
        <v>2828</v>
      </c>
      <c r="AH842">
        <v>2025</v>
      </c>
      <c r="AI842" t="s">
        <v>2835</v>
      </c>
    </row>
    <row r="843" spans="1:35">
      <c r="A843" t="s">
        <v>2595</v>
      </c>
      <c r="B843">
        <v>45694</v>
      </c>
      <c r="C843">
        <v>45700</v>
      </c>
      <c r="D843" t="s">
        <v>2596</v>
      </c>
      <c r="E843" t="s">
        <v>62</v>
      </c>
      <c r="F843" t="s">
        <v>37</v>
      </c>
      <c r="G843" t="s">
        <v>38</v>
      </c>
      <c r="H843" t="s">
        <v>145</v>
      </c>
      <c r="I843" t="s">
        <v>146</v>
      </c>
      <c r="J843" t="s">
        <v>28</v>
      </c>
      <c r="K843" t="s">
        <v>48</v>
      </c>
      <c r="L843" t="s">
        <v>2597</v>
      </c>
      <c r="M843" t="s">
        <v>59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32</v>
      </c>
      <c r="U843" t="s">
        <v>33</v>
      </c>
      <c r="V843" t="s">
        <v>2834</v>
      </c>
      <c r="W843" t="s">
        <v>2834</v>
      </c>
      <c r="X843" t="s">
        <v>2834</v>
      </c>
      <c r="Y843" t="s">
        <v>2834</v>
      </c>
      <c r="Z843">
        <v>6</v>
      </c>
      <c r="AA843" t="s">
        <v>2789</v>
      </c>
      <c r="AB843">
        <v>0.25</v>
      </c>
      <c r="AC843" t="s">
        <v>2794</v>
      </c>
      <c r="AD843">
        <v>21850.829999999998</v>
      </c>
      <c r="AE843">
        <v>5250.6999999999971</v>
      </c>
      <c r="AF843">
        <v>0.2402975081495759</v>
      </c>
      <c r="AG843" t="s">
        <v>2821</v>
      </c>
      <c r="AH843">
        <v>2025</v>
      </c>
      <c r="AI843" t="s">
        <v>2835</v>
      </c>
    </row>
    <row r="844" spans="1:35">
      <c r="A844" t="s">
        <v>2598</v>
      </c>
      <c r="B844">
        <v>45382</v>
      </c>
      <c r="C844">
        <v>45381</v>
      </c>
      <c r="D844" t="s">
        <v>2599</v>
      </c>
      <c r="E844" t="s">
        <v>264</v>
      </c>
      <c r="F844" t="s">
        <v>24</v>
      </c>
      <c r="G844" t="s">
        <v>25</v>
      </c>
      <c r="H844" t="s">
        <v>236</v>
      </c>
      <c r="I844" t="s">
        <v>237</v>
      </c>
      <c r="J844" t="s">
        <v>74</v>
      </c>
      <c r="K844" t="s">
        <v>274</v>
      </c>
      <c r="L844" t="s">
        <v>2600</v>
      </c>
      <c r="M844" t="s">
        <v>50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32</v>
      </c>
      <c r="U844" t="s">
        <v>103</v>
      </c>
      <c r="V844" t="s">
        <v>2834</v>
      </c>
      <c r="W844" t="s">
        <v>2834</v>
      </c>
      <c r="X844" t="s">
        <v>2834</v>
      </c>
      <c r="Y844" t="s">
        <v>2837</v>
      </c>
      <c r="Z844">
        <v>-1</v>
      </c>
      <c r="AA844" t="s">
        <v>2789</v>
      </c>
      <c r="AB844">
        <v>0.15</v>
      </c>
      <c r="AC844" t="s">
        <v>2794</v>
      </c>
      <c r="AD844">
        <v>7453.0719999999992</v>
      </c>
      <c r="AE844">
        <v>2319.2919999999995</v>
      </c>
      <c r="AF844">
        <v>0.31118604516365866</v>
      </c>
      <c r="AG844" t="s">
        <v>2822</v>
      </c>
      <c r="AH844">
        <v>2024</v>
      </c>
      <c r="AI844" t="s">
        <v>2836</v>
      </c>
    </row>
    <row r="845" spans="1:35">
      <c r="A845" t="s">
        <v>2601</v>
      </c>
      <c r="B845">
        <v>45856</v>
      </c>
      <c r="C845">
        <v>45863</v>
      </c>
      <c r="D845" t="s">
        <v>2602</v>
      </c>
      <c r="E845" t="s">
        <v>114</v>
      </c>
      <c r="F845" t="s">
        <v>37</v>
      </c>
      <c r="G845" t="s">
        <v>25</v>
      </c>
      <c r="H845" t="s">
        <v>136</v>
      </c>
      <c r="I845" t="s">
        <v>137</v>
      </c>
      <c r="J845" t="s">
        <v>74</v>
      </c>
      <c r="K845" t="s">
        <v>171</v>
      </c>
      <c r="L845" t="s">
        <v>2603</v>
      </c>
      <c r="M845" t="s">
        <v>50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32</v>
      </c>
      <c r="U845" t="s">
        <v>33</v>
      </c>
      <c r="V845" t="s">
        <v>2834</v>
      </c>
      <c r="W845" t="s">
        <v>2834</v>
      </c>
      <c r="X845" t="s">
        <v>2834</v>
      </c>
      <c r="Y845" t="s">
        <v>2834</v>
      </c>
      <c r="Z845">
        <v>7</v>
      </c>
      <c r="AA845" t="s">
        <v>2789</v>
      </c>
      <c r="AB845">
        <v>-0.02</v>
      </c>
      <c r="AC845" t="s">
        <v>2795</v>
      </c>
      <c r="AD845">
        <v>36623.793600000005</v>
      </c>
      <c r="AE845">
        <v>12707.693600000006</v>
      </c>
      <c r="AF845">
        <v>0.34697917257812433</v>
      </c>
      <c r="AG845" t="s">
        <v>2826</v>
      </c>
      <c r="AH845">
        <v>2025</v>
      </c>
      <c r="AI845" t="s">
        <v>2836</v>
      </c>
    </row>
    <row r="846" spans="1:35">
      <c r="A846" t="s">
        <v>2604</v>
      </c>
      <c r="B846">
        <v>45677</v>
      </c>
      <c r="C846">
        <v>45682</v>
      </c>
      <c r="D846" t="s">
        <v>2605</v>
      </c>
      <c r="E846" t="s">
        <v>89</v>
      </c>
      <c r="F846" t="s">
        <v>95</v>
      </c>
      <c r="G846" t="s">
        <v>63</v>
      </c>
      <c r="H846" t="s">
        <v>190</v>
      </c>
      <c r="I846" t="s">
        <v>191</v>
      </c>
      <c r="J846" t="s">
        <v>28</v>
      </c>
      <c r="K846" t="s">
        <v>48</v>
      </c>
      <c r="L846" t="s">
        <v>2606</v>
      </c>
      <c r="M846" t="s">
        <v>50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32</v>
      </c>
      <c r="U846" t="s">
        <v>33</v>
      </c>
      <c r="V846" t="s">
        <v>2834</v>
      </c>
      <c r="W846" t="s">
        <v>2834</v>
      </c>
      <c r="X846" t="s">
        <v>2834</v>
      </c>
      <c r="Y846" t="s">
        <v>2834</v>
      </c>
      <c r="Z846">
        <v>5</v>
      </c>
      <c r="AA846" t="s">
        <v>2789</v>
      </c>
      <c r="AB846">
        <v>0</v>
      </c>
      <c r="AC846" t="s">
        <v>2794</v>
      </c>
      <c r="AD846">
        <v>3515.15</v>
      </c>
      <c r="AE846">
        <v>1298.81</v>
      </c>
      <c r="AF846">
        <v>0.36948921098672882</v>
      </c>
      <c r="AG846" t="s">
        <v>2820</v>
      </c>
      <c r="AH846">
        <v>2025</v>
      </c>
      <c r="AI846" t="s">
        <v>2835</v>
      </c>
    </row>
    <row r="847" spans="1:35">
      <c r="A847" t="s">
        <v>2607</v>
      </c>
      <c r="B847">
        <v>45345</v>
      </c>
      <c r="C847">
        <v>45349</v>
      </c>
      <c r="D847" t="s">
        <v>593</v>
      </c>
      <c r="E847" t="s">
        <v>23</v>
      </c>
      <c r="F847" t="s">
        <v>24</v>
      </c>
      <c r="G847" t="s">
        <v>38</v>
      </c>
      <c r="H847" t="s">
        <v>39</v>
      </c>
      <c r="I847" t="s">
        <v>40</v>
      </c>
      <c r="J847" t="s">
        <v>41</v>
      </c>
      <c r="K847" t="s">
        <v>42</v>
      </c>
      <c r="L847" t="s">
        <v>2608</v>
      </c>
      <c r="M847" t="s">
        <v>50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111</v>
      </c>
      <c r="U847" t="s">
        <v>103</v>
      </c>
      <c r="V847" t="s">
        <v>2834</v>
      </c>
      <c r="W847" t="s">
        <v>2834</v>
      </c>
      <c r="X847" t="s">
        <v>2834</v>
      </c>
      <c r="Y847" t="s">
        <v>2834</v>
      </c>
      <c r="Z847">
        <v>4</v>
      </c>
      <c r="AA847" t="s">
        <v>2789</v>
      </c>
      <c r="AB847">
        <v>0.25</v>
      </c>
      <c r="AC847" t="s">
        <v>2794</v>
      </c>
      <c r="AD847">
        <v>24409.552499999998</v>
      </c>
      <c r="AE847">
        <v>7251.9724999999962</v>
      </c>
      <c r="AF847">
        <v>0.29709567596538267</v>
      </c>
      <c r="AG847" t="s">
        <v>2821</v>
      </c>
      <c r="AH847">
        <v>2024</v>
      </c>
      <c r="AI847" t="s">
        <v>2835</v>
      </c>
    </row>
    <row r="848" spans="1:35">
      <c r="A848" t="s">
        <v>2609</v>
      </c>
      <c r="B848">
        <v>45396</v>
      </c>
      <c r="C848">
        <v>45404</v>
      </c>
      <c r="D848" t="s">
        <v>2610</v>
      </c>
      <c r="E848" t="s">
        <v>114</v>
      </c>
      <c r="F848" t="s">
        <v>37</v>
      </c>
      <c r="G848" t="s">
        <v>63</v>
      </c>
      <c r="H848" t="s">
        <v>180</v>
      </c>
      <c r="I848" t="s">
        <v>181</v>
      </c>
      <c r="J848" t="s">
        <v>41</v>
      </c>
      <c r="K848" t="s">
        <v>158</v>
      </c>
      <c r="L848" t="s">
        <v>2611</v>
      </c>
      <c r="M848" t="s">
        <v>59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111</v>
      </c>
      <c r="U848" t="s">
        <v>103</v>
      </c>
      <c r="V848" t="s">
        <v>2834</v>
      </c>
      <c r="W848" t="s">
        <v>2834</v>
      </c>
      <c r="X848" t="s">
        <v>2834</v>
      </c>
      <c r="Y848" t="s">
        <v>2834</v>
      </c>
      <c r="Z848">
        <v>8</v>
      </c>
      <c r="AA848" t="s">
        <v>2789</v>
      </c>
      <c r="AB848">
        <v>0</v>
      </c>
      <c r="AC848" t="s">
        <v>2794</v>
      </c>
      <c r="AD848">
        <v>7955.04</v>
      </c>
      <c r="AE848">
        <v>2374.3599999999997</v>
      </c>
      <c r="AF848">
        <v>0.29847241497214339</v>
      </c>
      <c r="AG848" t="s">
        <v>2823</v>
      </c>
      <c r="AH848">
        <v>2024</v>
      </c>
      <c r="AI848" t="s">
        <v>2835</v>
      </c>
    </row>
    <row r="849" spans="1:35">
      <c r="A849" t="s">
        <v>2612</v>
      </c>
      <c r="B849">
        <v>45797</v>
      </c>
      <c r="C849">
        <v>45799</v>
      </c>
      <c r="D849" t="s">
        <v>2613</v>
      </c>
      <c r="E849" t="s">
        <v>162</v>
      </c>
      <c r="F849" t="s">
        <v>95</v>
      </c>
      <c r="G849" t="s">
        <v>38</v>
      </c>
      <c r="H849" t="s">
        <v>39</v>
      </c>
      <c r="I849" t="s">
        <v>40</v>
      </c>
      <c r="J849" t="s">
        <v>41</v>
      </c>
      <c r="K849" t="s">
        <v>42</v>
      </c>
      <c r="L849" t="s">
        <v>2614</v>
      </c>
      <c r="M849" t="s">
        <v>31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32</v>
      </c>
      <c r="U849" t="s">
        <v>33</v>
      </c>
      <c r="V849" t="s">
        <v>2834</v>
      </c>
      <c r="W849" t="s">
        <v>2834</v>
      </c>
      <c r="X849" t="s">
        <v>2834</v>
      </c>
      <c r="Y849" t="s">
        <v>2834</v>
      </c>
      <c r="Z849">
        <v>2</v>
      </c>
      <c r="AA849" t="s">
        <v>2789</v>
      </c>
      <c r="AB849">
        <v>0.2</v>
      </c>
      <c r="AC849" t="s">
        <v>2794</v>
      </c>
      <c r="AD849">
        <v>336.12800000000004</v>
      </c>
      <c r="AE849">
        <v>93.938000000000045</v>
      </c>
      <c r="AF849">
        <v>0.27947091584158423</v>
      </c>
      <c r="AG849" t="s">
        <v>2824</v>
      </c>
      <c r="AH849">
        <v>2025</v>
      </c>
      <c r="AI849" t="s">
        <v>2835</v>
      </c>
    </row>
    <row r="850" spans="1:35">
      <c r="A850" t="s">
        <v>2615</v>
      </c>
      <c r="B850">
        <v>45804</v>
      </c>
      <c r="C850">
        <v>45806</v>
      </c>
      <c r="D850" t="s">
        <v>2616</v>
      </c>
      <c r="E850" t="s">
        <v>118</v>
      </c>
      <c r="F850" t="s">
        <v>95</v>
      </c>
      <c r="G850" t="s">
        <v>54</v>
      </c>
      <c r="H850" t="s">
        <v>247</v>
      </c>
      <c r="I850" t="s">
        <v>248</v>
      </c>
      <c r="J850" t="s">
        <v>41</v>
      </c>
      <c r="K850" t="s">
        <v>57</v>
      </c>
      <c r="L850" t="s">
        <v>2617</v>
      </c>
      <c r="M850" t="s">
        <v>31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32</v>
      </c>
      <c r="U850" t="s">
        <v>33</v>
      </c>
      <c r="V850" t="s">
        <v>2834</v>
      </c>
      <c r="W850" t="s">
        <v>2834</v>
      </c>
      <c r="X850" t="s">
        <v>2834</v>
      </c>
      <c r="Y850" t="s">
        <v>2834</v>
      </c>
      <c r="Z850">
        <v>2</v>
      </c>
      <c r="AA850" t="s">
        <v>2789</v>
      </c>
      <c r="AB850">
        <v>0.25</v>
      </c>
      <c r="AC850" t="s">
        <v>2794</v>
      </c>
      <c r="AD850">
        <v>1308.2624999999998</v>
      </c>
      <c r="AE850">
        <v>224.70249999999987</v>
      </c>
      <c r="AF850">
        <v>0.17175643267310645</v>
      </c>
      <c r="AG850" t="s">
        <v>2824</v>
      </c>
      <c r="AH850">
        <v>2025</v>
      </c>
      <c r="AI850" t="s">
        <v>2835</v>
      </c>
    </row>
    <row r="851" spans="1:35">
      <c r="A851" t="s">
        <v>2618</v>
      </c>
      <c r="B851">
        <v>45357</v>
      </c>
      <c r="C851">
        <v>45363</v>
      </c>
      <c r="D851" t="s">
        <v>2619</v>
      </c>
      <c r="E851" t="s">
        <v>47</v>
      </c>
      <c r="F851" t="s">
        <v>95</v>
      </c>
      <c r="G851" t="s">
        <v>63</v>
      </c>
      <c r="H851" t="s">
        <v>180</v>
      </c>
      <c r="I851" t="s">
        <v>181</v>
      </c>
      <c r="J851" t="s">
        <v>41</v>
      </c>
      <c r="K851" t="s">
        <v>158</v>
      </c>
      <c r="L851" t="s">
        <v>2620</v>
      </c>
      <c r="M851" t="s">
        <v>59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32</v>
      </c>
      <c r="U851" t="s">
        <v>33</v>
      </c>
      <c r="V851" t="s">
        <v>2834</v>
      </c>
      <c r="W851" t="s">
        <v>2834</v>
      </c>
      <c r="X851" t="s">
        <v>2834</v>
      </c>
      <c r="Y851" t="s">
        <v>2834</v>
      </c>
      <c r="Z851">
        <v>6</v>
      </c>
      <c r="AA851" t="s">
        <v>2789</v>
      </c>
      <c r="AB851">
        <v>0.2</v>
      </c>
      <c r="AC851" t="s">
        <v>2794</v>
      </c>
      <c r="AD851">
        <v>1631.1120000000001</v>
      </c>
      <c r="AE851">
        <v>732.38200000000006</v>
      </c>
      <c r="AF851">
        <v>0.44900779345624336</v>
      </c>
      <c r="AG851" t="s">
        <v>2822</v>
      </c>
      <c r="AH851">
        <v>2024</v>
      </c>
      <c r="AI851" t="s">
        <v>2835</v>
      </c>
    </row>
    <row r="852" spans="1:35">
      <c r="A852" t="s">
        <v>2621</v>
      </c>
      <c r="B852">
        <v>45473</v>
      </c>
      <c r="C852">
        <v>45476</v>
      </c>
      <c r="D852" t="s">
        <v>2622</v>
      </c>
      <c r="E852" t="s">
        <v>114</v>
      </c>
      <c r="F852" t="s">
        <v>95</v>
      </c>
      <c r="G852" t="s">
        <v>38</v>
      </c>
      <c r="H852" t="s">
        <v>99</v>
      </c>
      <c r="I852" t="s">
        <v>100</v>
      </c>
      <c r="J852" t="s">
        <v>28</v>
      </c>
      <c r="K852" t="s">
        <v>29</v>
      </c>
      <c r="L852" t="s">
        <v>2623</v>
      </c>
      <c r="M852" t="s">
        <v>50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32</v>
      </c>
      <c r="U852" t="s">
        <v>33</v>
      </c>
      <c r="V852" t="s">
        <v>2834</v>
      </c>
      <c r="W852" t="s">
        <v>2834</v>
      </c>
      <c r="X852" t="s">
        <v>2834</v>
      </c>
      <c r="Y852" t="s">
        <v>2834</v>
      </c>
      <c r="Z852">
        <v>3</v>
      </c>
      <c r="AA852" t="s">
        <v>2789</v>
      </c>
      <c r="AB852">
        <v>0</v>
      </c>
      <c r="AC852" t="s">
        <v>2794</v>
      </c>
      <c r="AD852">
        <v>7266.0599999999995</v>
      </c>
      <c r="AE852">
        <v>1049.1699999999992</v>
      </c>
      <c r="AF852">
        <v>0.14439324750965438</v>
      </c>
      <c r="AG852" t="s">
        <v>2825</v>
      </c>
      <c r="AH852">
        <v>2024</v>
      </c>
      <c r="AI852" t="s">
        <v>2835</v>
      </c>
    </row>
    <row r="853" spans="1:35">
      <c r="A853" t="s">
        <v>2624</v>
      </c>
      <c r="B853">
        <v>45377</v>
      </c>
      <c r="C853">
        <v>45383</v>
      </c>
      <c r="D853" t="s">
        <v>2625</v>
      </c>
      <c r="E853" t="s">
        <v>23</v>
      </c>
      <c r="F853" t="s">
        <v>37</v>
      </c>
      <c r="G853" t="s">
        <v>63</v>
      </c>
      <c r="H853" t="s">
        <v>180</v>
      </c>
      <c r="I853" t="s">
        <v>181</v>
      </c>
      <c r="J853" t="s">
        <v>74</v>
      </c>
      <c r="K853" t="s">
        <v>75</v>
      </c>
      <c r="L853" t="s">
        <v>2626</v>
      </c>
      <c r="M853" t="s">
        <v>50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32</v>
      </c>
      <c r="U853" t="s">
        <v>33</v>
      </c>
      <c r="V853" t="s">
        <v>2834</v>
      </c>
      <c r="W853" t="s">
        <v>2834</v>
      </c>
      <c r="X853" t="s">
        <v>2834</v>
      </c>
      <c r="Y853" t="s">
        <v>2834</v>
      </c>
      <c r="Z853">
        <v>6</v>
      </c>
      <c r="AA853" t="s">
        <v>2789</v>
      </c>
      <c r="AB853">
        <v>0.2</v>
      </c>
      <c r="AC853" t="s">
        <v>2794</v>
      </c>
      <c r="AD853">
        <v>1858.08</v>
      </c>
      <c r="AE853">
        <v>267.32999999999993</v>
      </c>
      <c r="AF853">
        <v>0.14387432188065097</v>
      </c>
      <c r="AG853" t="s">
        <v>2822</v>
      </c>
      <c r="AH853">
        <v>2024</v>
      </c>
      <c r="AI853" t="s">
        <v>2835</v>
      </c>
    </row>
    <row r="854" spans="1:35">
      <c r="A854" t="s">
        <v>2627</v>
      </c>
      <c r="B854">
        <v>45383</v>
      </c>
      <c r="C854">
        <v>45390</v>
      </c>
      <c r="D854" t="s">
        <v>2628</v>
      </c>
      <c r="E854" t="s">
        <v>62</v>
      </c>
      <c r="F854" t="s">
        <v>24</v>
      </c>
      <c r="G854" t="s">
        <v>38</v>
      </c>
      <c r="H854" t="s">
        <v>166</v>
      </c>
      <c r="I854" t="s">
        <v>167</v>
      </c>
      <c r="J854" t="s">
        <v>41</v>
      </c>
      <c r="K854" t="s">
        <v>42</v>
      </c>
      <c r="L854" t="s">
        <v>2629</v>
      </c>
      <c r="M854" t="s">
        <v>31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111</v>
      </c>
      <c r="U854" t="s">
        <v>68</v>
      </c>
      <c r="V854" t="s">
        <v>2834</v>
      </c>
      <c r="W854" t="s">
        <v>2834</v>
      </c>
      <c r="X854" t="s">
        <v>2834</v>
      </c>
      <c r="Y854" t="s">
        <v>2834</v>
      </c>
      <c r="Z854">
        <v>7</v>
      </c>
      <c r="AA854" t="s">
        <v>2789</v>
      </c>
      <c r="AB854">
        <v>0.15</v>
      </c>
      <c r="AC854" t="s">
        <v>2794</v>
      </c>
      <c r="AD854">
        <v>25021.832500000004</v>
      </c>
      <c r="AE854">
        <v>9477.3925000000036</v>
      </c>
      <c r="AF854">
        <v>0.37876492459135447</v>
      </c>
      <c r="AG854" t="s">
        <v>2823</v>
      </c>
      <c r="AH854">
        <v>2024</v>
      </c>
      <c r="AI854" t="s">
        <v>2835</v>
      </c>
    </row>
    <row r="855" spans="1:35">
      <c r="A855" t="s">
        <v>2630</v>
      </c>
      <c r="B855">
        <v>45793</v>
      </c>
      <c r="C855">
        <v>45799</v>
      </c>
      <c r="D855" t="s">
        <v>2631</v>
      </c>
      <c r="E855" t="s">
        <v>53</v>
      </c>
      <c r="F855" t="s">
        <v>90</v>
      </c>
      <c r="G855" t="s">
        <v>54</v>
      </c>
      <c r="H855" t="s">
        <v>247</v>
      </c>
      <c r="I855" t="s">
        <v>248</v>
      </c>
      <c r="J855" t="s">
        <v>74</v>
      </c>
      <c r="K855" t="s">
        <v>75</v>
      </c>
      <c r="L855" t="s">
        <v>2632</v>
      </c>
      <c r="M855" t="s">
        <v>44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32</v>
      </c>
      <c r="U855" t="s">
        <v>33</v>
      </c>
      <c r="V855" t="s">
        <v>2834</v>
      </c>
      <c r="W855" t="s">
        <v>2834</v>
      </c>
      <c r="X855" t="s">
        <v>2834</v>
      </c>
      <c r="Y855" t="s">
        <v>2834</v>
      </c>
      <c r="Z855">
        <v>6</v>
      </c>
      <c r="AA855" t="s">
        <v>2789</v>
      </c>
      <c r="AB855">
        <v>0.2</v>
      </c>
      <c r="AC855" t="s">
        <v>2794</v>
      </c>
      <c r="AD855">
        <v>3710.72</v>
      </c>
      <c r="AE855">
        <v>595.42999999999984</v>
      </c>
      <c r="AF855">
        <v>0.16046212055881334</v>
      </c>
      <c r="AG855" t="s">
        <v>2824</v>
      </c>
      <c r="AH855">
        <v>2025</v>
      </c>
      <c r="AI855" t="s">
        <v>2835</v>
      </c>
    </row>
    <row r="856" spans="1:35">
      <c r="A856" t="s">
        <v>2633</v>
      </c>
      <c r="B856">
        <v>45741</v>
      </c>
      <c r="C856">
        <v>45749</v>
      </c>
      <c r="D856" t="s">
        <v>2634</v>
      </c>
      <c r="E856" t="s">
        <v>114</v>
      </c>
      <c r="F856" t="s">
        <v>24</v>
      </c>
      <c r="G856" t="s">
        <v>54</v>
      </c>
      <c r="H856" t="s">
        <v>175</v>
      </c>
      <c r="I856" t="s">
        <v>176</v>
      </c>
      <c r="J856" t="s">
        <v>41</v>
      </c>
      <c r="K856" t="s">
        <v>158</v>
      </c>
      <c r="L856" t="s">
        <v>2635</v>
      </c>
      <c r="M856" t="s">
        <v>31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32</v>
      </c>
      <c r="U856" t="s">
        <v>33</v>
      </c>
      <c r="V856" t="s">
        <v>2834</v>
      </c>
      <c r="W856" t="s">
        <v>2834</v>
      </c>
      <c r="X856" t="s">
        <v>2834</v>
      </c>
      <c r="Y856" t="s">
        <v>2834</v>
      </c>
      <c r="Z856">
        <v>8</v>
      </c>
      <c r="AA856" t="s">
        <v>2789</v>
      </c>
      <c r="AB856">
        <v>0.05</v>
      </c>
      <c r="AC856" t="s">
        <v>2794</v>
      </c>
      <c r="AD856">
        <v>8487.8319999999985</v>
      </c>
      <c r="AE856">
        <v>3242.1119999999983</v>
      </c>
      <c r="AF856">
        <v>0.38197174496384928</v>
      </c>
      <c r="AG856" t="s">
        <v>2822</v>
      </c>
      <c r="AH856">
        <v>2025</v>
      </c>
      <c r="AI856" t="s">
        <v>2835</v>
      </c>
    </row>
    <row r="857" spans="1:35">
      <c r="A857" t="s">
        <v>2636</v>
      </c>
      <c r="B857">
        <v>45498</v>
      </c>
      <c r="C857">
        <v>45506</v>
      </c>
      <c r="D857" t="s">
        <v>1122</v>
      </c>
      <c r="E857" t="s">
        <v>118</v>
      </c>
      <c r="F857" t="s">
        <v>24</v>
      </c>
      <c r="G857" t="s">
        <v>25</v>
      </c>
      <c r="H857" t="s">
        <v>26</v>
      </c>
      <c r="I857" t="s">
        <v>27</v>
      </c>
      <c r="J857" t="s">
        <v>28</v>
      </c>
      <c r="K857" t="s">
        <v>91</v>
      </c>
      <c r="L857" t="s">
        <v>2637</v>
      </c>
      <c r="M857" t="s">
        <v>31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32</v>
      </c>
      <c r="U857" t="s">
        <v>33</v>
      </c>
      <c r="V857" t="s">
        <v>2834</v>
      </c>
      <c r="W857" t="s">
        <v>2834</v>
      </c>
      <c r="X857" t="s">
        <v>2834</v>
      </c>
      <c r="Y857" t="s">
        <v>2834</v>
      </c>
      <c r="Z857">
        <v>8</v>
      </c>
      <c r="AA857" t="s">
        <v>2789</v>
      </c>
      <c r="AB857">
        <v>0.25</v>
      </c>
      <c r="AC857" t="s">
        <v>2794</v>
      </c>
      <c r="AD857">
        <v>3110.2950000000001</v>
      </c>
      <c r="AE857">
        <v>1009.2649999999999</v>
      </c>
      <c r="AF857">
        <v>0.32449172827657824</v>
      </c>
      <c r="AG857" t="s">
        <v>2826</v>
      </c>
      <c r="AH857">
        <v>2024</v>
      </c>
      <c r="AI857" t="s">
        <v>2835</v>
      </c>
    </row>
    <row r="858" spans="1:35">
      <c r="A858" t="s">
        <v>2638</v>
      </c>
      <c r="B858">
        <v>45455</v>
      </c>
      <c r="C858">
        <v>45462</v>
      </c>
      <c r="D858" t="s">
        <v>1300</v>
      </c>
      <c r="E858" t="s">
        <v>141</v>
      </c>
      <c r="F858" t="s">
        <v>95</v>
      </c>
      <c r="G858" t="s">
        <v>54</v>
      </c>
      <c r="H858" t="s">
        <v>247</v>
      </c>
      <c r="I858" t="s">
        <v>248</v>
      </c>
      <c r="J858" t="s">
        <v>28</v>
      </c>
      <c r="K858" t="s">
        <v>124</v>
      </c>
      <c r="L858" t="s">
        <v>2639</v>
      </c>
      <c r="M858" t="s">
        <v>59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155</v>
      </c>
      <c r="U858" t="s">
        <v>68</v>
      </c>
      <c r="V858" t="s">
        <v>2834</v>
      </c>
      <c r="W858" t="s">
        <v>2834</v>
      </c>
      <c r="X858" t="s">
        <v>2834</v>
      </c>
      <c r="Y858" t="s">
        <v>2834</v>
      </c>
      <c r="Z858">
        <v>7</v>
      </c>
      <c r="AA858" t="s">
        <v>2789</v>
      </c>
      <c r="AB858">
        <v>-0.16</v>
      </c>
      <c r="AC858" t="s">
        <v>2795</v>
      </c>
      <c r="AD858">
        <v>1833.2639999999999</v>
      </c>
      <c r="AE858">
        <v>866.71399999999994</v>
      </c>
      <c r="AF858">
        <v>0.47277097024760206</v>
      </c>
      <c r="AG858" t="s">
        <v>2825</v>
      </c>
      <c r="AH858">
        <v>2024</v>
      </c>
      <c r="AI858" t="s">
        <v>2836</v>
      </c>
    </row>
    <row r="859" spans="1:35">
      <c r="A859" t="s">
        <v>2640</v>
      </c>
      <c r="B859">
        <v>45447</v>
      </c>
      <c r="C859">
        <v>45447</v>
      </c>
      <c r="D859" t="s">
        <v>2147</v>
      </c>
      <c r="E859" t="s">
        <v>132</v>
      </c>
      <c r="F859" t="s">
        <v>95</v>
      </c>
      <c r="G859" t="s">
        <v>54</v>
      </c>
      <c r="H859" t="s">
        <v>185</v>
      </c>
      <c r="I859" t="s">
        <v>186</v>
      </c>
      <c r="J859" t="s">
        <v>28</v>
      </c>
      <c r="K859" t="s">
        <v>124</v>
      </c>
      <c r="L859" t="s">
        <v>2641</v>
      </c>
      <c r="M859" t="s">
        <v>50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32</v>
      </c>
      <c r="U859" t="s">
        <v>33</v>
      </c>
      <c r="V859" t="s">
        <v>2834</v>
      </c>
      <c r="W859" t="s">
        <v>2834</v>
      </c>
      <c r="X859" t="s">
        <v>2834</v>
      </c>
      <c r="Y859" t="s">
        <v>2834</v>
      </c>
      <c r="Z859">
        <v>0</v>
      </c>
      <c r="AA859" t="s">
        <v>2789</v>
      </c>
      <c r="AB859">
        <v>0.25</v>
      </c>
      <c r="AC859" t="s">
        <v>2794</v>
      </c>
      <c r="AD859">
        <v>12190.365</v>
      </c>
      <c r="AE859">
        <v>2013.375</v>
      </c>
      <c r="AF859">
        <v>0.16516117441930575</v>
      </c>
      <c r="AG859" t="s">
        <v>2825</v>
      </c>
      <c r="AH859">
        <v>2024</v>
      </c>
      <c r="AI859" t="s">
        <v>2835</v>
      </c>
    </row>
    <row r="860" spans="1:35">
      <c r="A860" t="s">
        <v>2642</v>
      </c>
      <c r="B860">
        <v>45414</v>
      </c>
      <c r="C860">
        <v>45421</v>
      </c>
      <c r="D860" t="s">
        <v>2643</v>
      </c>
      <c r="E860" t="s">
        <v>53</v>
      </c>
      <c r="F860" t="s">
        <v>24</v>
      </c>
      <c r="G860" t="s">
        <v>38</v>
      </c>
      <c r="H860" t="s">
        <v>39</v>
      </c>
      <c r="I860" t="s">
        <v>40</v>
      </c>
      <c r="J860" t="s">
        <v>74</v>
      </c>
      <c r="K860" t="s">
        <v>75</v>
      </c>
      <c r="L860" t="s">
        <v>2644</v>
      </c>
      <c r="M860" t="s">
        <v>31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32</v>
      </c>
      <c r="U860" t="s">
        <v>33</v>
      </c>
      <c r="V860" t="s">
        <v>2834</v>
      </c>
      <c r="W860" t="s">
        <v>2834</v>
      </c>
      <c r="X860" t="s">
        <v>2834</v>
      </c>
      <c r="Y860" t="s">
        <v>2834</v>
      </c>
      <c r="Z860">
        <v>7</v>
      </c>
      <c r="AA860" t="s">
        <v>2789</v>
      </c>
      <c r="AB860">
        <v>0</v>
      </c>
      <c r="AC860" t="s">
        <v>2794</v>
      </c>
      <c r="AD860">
        <v>11619.44</v>
      </c>
      <c r="AE860">
        <v>4435.1200000000008</v>
      </c>
      <c r="AF860">
        <v>0.3816982574031107</v>
      </c>
      <c r="AG860" t="s">
        <v>2824</v>
      </c>
      <c r="AH860">
        <v>2024</v>
      </c>
      <c r="AI860" t="s">
        <v>2835</v>
      </c>
    </row>
    <row r="861" spans="1:35">
      <c r="A861" t="s">
        <v>2645</v>
      </c>
      <c r="B861">
        <v>45592</v>
      </c>
      <c r="C861">
        <v>45597</v>
      </c>
      <c r="D861" t="s">
        <v>2646</v>
      </c>
      <c r="E861" t="s">
        <v>89</v>
      </c>
      <c r="F861" t="s">
        <v>90</v>
      </c>
      <c r="G861" t="s">
        <v>54</v>
      </c>
      <c r="H861" t="s">
        <v>247</v>
      </c>
      <c r="I861" t="s">
        <v>248</v>
      </c>
      <c r="J861" t="s">
        <v>74</v>
      </c>
      <c r="K861" t="s">
        <v>171</v>
      </c>
      <c r="L861" t="s">
        <v>2647</v>
      </c>
      <c r="M861" t="s">
        <v>59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32</v>
      </c>
      <c r="U861" t="s">
        <v>33</v>
      </c>
      <c r="V861" t="s">
        <v>2834</v>
      </c>
      <c r="W861" t="s">
        <v>2834</v>
      </c>
      <c r="X861" t="s">
        <v>2834</v>
      </c>
      <c r="Y861" t="s">
        <v>2834</v>
      </c>
      <c r="Z861">
        <v>5</v>
      </c>
      <c r="AA861" t="s">
        <v>2789</v>
      </c>
      <c r="AB861">
        <v>0.05</v>
      </c>
      <c r="AC861" t="s">
        <v>2794</v>
      </c>
      <c r="AD861">
        <v>25075.439999999995</v>
      </c>
      <c r="AE861">
        <v>8792.6999999999953</v>
      </c>
      <c r="AF861">
        <v>0.35064987892535471</v>
      </c>
      <c r="AG861" t="s">
        <v>2829</v>
      </c>
      <c r="AH861">
        <v>2024</v>
      </c>
      <c r="AI861" t="s">
        <v>2835</v>
      </c>
    </row>
    <row r="862" spans="1:35">
      <c r="A862" t="s">
        <v>2648</v>
      </c>
      <c r="B862">
        <v>45324</v>
      </c>
      <c r="C862">
        <v>45326</v>
      </c>
      <c r="D862" t="s">
        <v>2649</v>
      </c>
      <c r="E862" t="s">
        <v>71</v>
      </c>
      <c r="F862" t="s">
        <v>95</v>
      </c>
      <c r="G862" t="s">
        <v>25</v>
      </c>
      <c r="H862" t="s">
        <v>136</v>
      </c>
      <c r="I862" t="s">
        <v>137</v>
      </c>
      <c r="J862" t="s">
        <v>28</v>
      </c>
      <c r="K862" t="s">
        <v>124</v>
      </c>
      <c r="L862" t="s">
        <v>2650</v>
      </c>
      <c r="M862" t="s">
        <v>31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32</v>
      </c>
      <c r="U862" t="s">
        <v>33</v>
      </c>
      <c r="V862" t="s">
        <v>2834</v>
      </c>
      <c r="W862" t="s">
        <v>2834</v>
      </c>
      <c r="X862" t="s">
        <v>2834</v>
      </c>
      <c r="Y862" t="s">
        <v>2834</v>
      </c>
      <c r="Z862">
        <v>2</v>
      </c>
      <c r="AA862" t="s">
        <v>2789</v>
      </c>
      <c r="AB862">
        <v>0.05</v>
      </c>
      <c r="AC862" t="s">
        <v>2794</v>
      </c>
      <c r="AD862">
        <v>4177.4539999999997</v>
      </c>
      <c r="AE862">
        <v>1877.9539999999997</v>
      </c>
      <c r="AF862">
        <v>0.44954510570313877</v>
      </c>
      <c r="AG862" t="s">
        <v>2821</v>
      </c>
      <c r="AH862">
        <v>2024</v>
      </c>
      <c r="AI862" t="s">
        <v>2835</v>
      </c>
    </row>
    <row r="863" spans="1:35">
      <c r="A863" t="s">
        <v>2651</v>
      </c>
      <c r="B863">
        <v>45724</v>
      </c>
      <c r="C863">
        <v>45725</v>
      </c>
      <c r="D863" t="s">
        <v>2652</v>
      </c>
      <c r="E863" t="s">
        <v>114</v>
      </c>
      <c r="F863" t="s">
        <v>95</v>
      </c>
      <c r="G863" t="s">
        <v>25</v>
      </c>
      <c r="H863" t="s">
        <v>350</v>
      </c>
      <c r="I863" t="s">
        <v>351</v>
      </c>
      <c r="J863" t="s">
        <v>41</v>
      </c>
      <c r="K863" t="s">
        <v>57</v>
      </c>
      <c r="L863" t="s">
        <v>2653</v>
      </c>
      <c r="M863" t="s">
        <v>44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32</v>
      </c>
      <c r="U863" t="s">
        <v>33</v>
      </c>
      <c r="V863" t="s">
        <v>2834</v>
      </c>
      <c r="W863" t="s">
        <v>2834</v>
      </c>
      <c r="X863" t="s">
        <v>2834</v>
      </c>
      <c r="Y863" t="s">
        <v>2834</v>
      </c>
      <c r="Z863">
        <v>1</v>
      </c>
      <c r="AA863" t="s">
        <v>2789</v>
      </c>
      <c r="AB863">
        <v>0.2</v>
      </c>
      <c r="AC863" t="s">
        <v>2794</v>
      </c>
      <c r="AD863">
        <v>10898.175999999999</v>
      </c>
      <c r="AE863">
        <v>4666.7659999999996</v>
      </c>
      <c r="AF863">
        <v>0.42821532704188298</v>
      </c>
      <c r="AG863" t="s">
        <v>2822</v>
      </c>
      <c r="AH863">
        <v>2025</v>
      </c>
      <c r="AI863" t="s">
        <v>2835</v>
      </c>
    </row>
    <row r="864" spans="1:35">
      <c r="A864" t="s">
        <v>2654</v>
      </c>
      <c r="B864">
        <v>45742</v>
      </c>
      <c r="C864">
        <v>45747</v>
      </c>
      <c r="D864" t="s">
        <v>2655</v>
      </c>
      <c r="E864" t="s">
        <v>114</v>
      </c>
      <c r="F864" t="s">
        <v>37</v>
      </c>
      <c r="G864" t="s">
        <v>38</v>
      </c>
      <c r="H864" t="s">
        <v>228</v>
      </c>
      <c r="I864" t="s">
        <v>229</v>
      </c>
      <c r="J864" t="s">
        <v>28</v>
      </c>
      <c r="K864" t="s">
        <v>153</v>
      </c>
      <c r="L864" t="s">
        <v>2656</v>
      </c>
      <c r="M864" t="s">
        <v>50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32</v>
      </c>
      <c r="U864" t="s">
        <v>68</v>
      </c>
      <c r="V864" t="s">
        <v>2834</v>
      </c>
      <c r="W864" t="s">
        <v>2834</v>
      </c>
      <c r="X864" t="s">
        <v>2834</v>
      </c>
      <c r="Y864" t="s">
        <v>2834</v>
      </c>
      <c r="Z864">
        <v>5</v>
      </c>
      <c r="AA864" t="s">
        <v>2789</v>
      </c>
      <c r="AB864">
        <v>0</v>
      </c>
      <c r="AC864" t="s">
        <v>2794</v>
      </c>
      <c r="AD864">
        <v>6975.7000000000007</v>
      </c>
      <c r="AE864">
        <v>2177.8200000000006</v>
      </c>
      <c r="AF864">
        <v>0.3122009260719355</v>
      </c>
      <c r="AG864" t="s">
        <v>2822</v>
      </c>
      <c r="AH864">
        <v>2025</v>
      </c>
      <c r="AI864" t="s">
        <v>2835</v>
      </c>
    </row>
    <row r="865" spans="1:35">
      <c r="A865" t="s">
        <v>2657</v>
      </c>
      <c r="B865">
        <v>45906</v>
      </c>
      <c r="C865">
        <v>45908</v>
      </c>
      <c r="D865" t="s">
        <v>2658</v>
      </c>
      <c r="E865" t="s">
        <v>128</v>
      </c>
      <c r="F865" t="s">
        <v>95</v>
      </c>
      <c r="G865" t="s">
        <v>63</v>
      </c>
      <c r="H865" t="s">
        <v>72</v>
      </c>
      <c r="I865" t="s">
        <v>73</v>
      </c>
      <c r="J865" t="s">
        <v>41</v>
      </c>
      <c r="K865" t="s">
        <v>57</v>
      </c>
      <c r="L865" t="s">
        <v>2659</v>
      </c>
      <c r="M865" t="s">
        <v>44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32</v>
      </c>
      <c r="U865" t="s">
        <v>33</v>
      </c>
      <c r="V865" t="s">
        <v>2834</v>
      </c>
      <c r="W865" t="s">
        <v>2834</v>
      </c>
      <c r="X865" t="s">
        <v>2834</v>
      </c>
      <c r="Y865" t="s">
        <v>2834</v>
      </c>
      <c r="Z865">
        <v>2</v>
      </c>
      <c r="AA865" t="s">
        <v>2789</v>
      </c>
      <c r="AB865">
        <v>0</v>
      </c>
      <c r="AC865" t="s">
        <v>2794</v>
      </c>
      <c r="AD865">
        <v>8811.69</v>
      </c>
      <c r="AE865">
        <v>2045.7800000000007</v>
      </c>
      <c r="AF865">
        <v>0.23216658779416893</v>
      </c>
      <c r="AG865" t="s">
        <v>2828</v>
      </c>
      <c r="AH865">
        <v>2025</v>
      </c>
      <c r="AI865" t="s">
        <v>2835</v>
      </c>
    </row>
    <row r="866" spans="1:35">
      <c r="A866" t="s">
        <v>2660</v>
      </c>
      <c r="B866">
        <v>45902</v>
      </c>
      <c r="C866">
        <v>45905</v>
      </c>
      <c r="D866" t="s">
        <v>2661</v>
      </c>
      <c r="E866" t="s">
        <v>71</v>
      </c>
      <c r="F866" t="s">
        <v>24</v>
      </c>
      <c r="G866" t="s">
        <v>54</v>
      </c>
      <c r="H866" t="s">
        <v>247</v>
      </c>
      <c r="I866" t="s">
        <v>248</v>
      </c>
      <c r="J866" t="s">
        <v>74</v>
      </c>
      <c r="K866" t="s">
        <v>171</v>
      </c>
      <c r="L866" t="s">
        <v>2662</v>
      </c>
      <c r="M866" t="s">
        <v>50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32</v>
      </c>
      <c r="U866" t="s">
        <v>33</v>
      </c>
      <c r="V866" t="s">
        <v>2834</v>
      </c>
      <c r="W866" t="s">
        <v>2834</v>
      </c>
      <c r="X866" t="s">
        <v>2834</v>
      </c>
      <c r="Y866" t="s">
        <v>2834</v>
      </c>
      <c r="Z866">
        <v>3</v>
      </c>
      <c r="AA866" t="s">
        <v>2789</v>
      </c>
      <c r="AB866">
        <v>0</v>
      </c>
      <c r="AC866" t="s">
        <v>2794</v>
      </c>
      <c r="AD866">
        <v>17034.349999999999</v>
      </c>
      <c r="AE866">
        <v>2402.989999999998</v>
      </c>
      <c r="AF866">
        <v>0.14106731398615141</v>
      </c>
      <c r="AG866" t="s">
        <v>2828</v>
      </c>
      <c r="AH866">
        <v>2025</v>
      </c>
      <c r="AI866" t="s">
        <v>2835</v>
      </c>
    </row>
    <row r="867" spans="1:35">
      <c r="A867" t="s">
        <v>2663</v>
      </c>
      <c r="B867">
        <v>45694</v>
      </c>
      <c r="C867">
        <v>45702</v>
      </c>
      <c r="D867" t="s">
        <v>2664</v>
      </c>
      <c r="E867" t="s">
        <v>264</v>
      </c>
      <c r="F867" t="s">
        <v>24</v>
      </c>
      <c r="G867" t="s">
        <v>63</v>
      </c>
      <c r="H867" t="s">
        <v>64</v>
      </c>
      <c r="I867" t="s">
        <v>65</v>
      </c>
      <c r="J867" t="s">
        <v>28</v>
      </c>
      <c r="K867" t="s">
        <v>91</v>
      </c>
      <c r="L867" t="s">
        <v>2665</v>
      </c>
      <c r="M867" t="s">
        <v>31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32</v>
      </c>
      <c r="U867" t="s">
        <v>33</v>
      </c>
      <c r="V867" t="s">
        <v>2834</v>
      </c>
      <c r="W867" t="s">
        <v>2834</v>
      </c>
      <c r="X867" t="s">
        <v>2834</v>
      </c>
      <c r="Y867" t="s">
        <v>2834</v>
      </c>
      <c r="Z867">
        <v>8</v>
      </c>
      <c r="AA867" t="s">
        <v>2789</v>
      </c>
      <c r="AB867">
        <v>0</v>
      </c>
      <c r="AC867" t="s">
        <v>2794</v>
      </c>
      <c r="AD867">
        <v>7984.08</v>
      </c>
      <c r="AE867">
        <v>2326.0299999999997</v>
      </c>
      <c r="AF867">
        <v>0.29133350367230787</v>
      </c>
      <c r="AG867" t="s">
        <v>2821</v>
      </c>
      <c r="AH867">
        <v>2025</v>
      </c>
      <c r="AI867" t="s">
        <v>2835</v>
      </c>
    </row>
    <row r="868" spans="1:35">
      <c r="A868" t="s">
        <v>2666</v>
      </c>
      <c r="B868">
        <v>45714</v>
      </c>
      <c r="C868">
        <v>45722</v>
      </c>
      <c r="D868" t="s">
        <v>2667</v>
      </c>
      <c r="E868" t="s">
        <v>114</v>
      </c>
      <c r="F868" t="s">
        <v>24</v>
      </c>
      <c r="G868" t="s">
        <v>38</v>
      </c>
      <c r="H868" t="s">
        <v>145</v>
      </c>
      <c r="I868" t="s">
        <v>146</v>
      </c>
      <c r="J868" t="s">
        <v>41</v>
      </c>
      <c r="K868" t="s">
        <v>158</v>
      </c>
      <c r="L868" t="s">
        <v>2668</v>
      </c>
      <c r="M868" t="s">
        <v>50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111</v>
      </c>
      <c r="U868" t="s">
        <v>68</v>
      </c>
      <c r="V868" t="s">
        <v>2834</v>
      </c>
      <c r="W868" t="s">
        <v>2834</v>
      </c>
      <c r="X868" t="s">
        <v>2834</v>
      </c>
      <c r="Y868" t="s">
        <v>2834</v>
      </c>
      <c r="Z868">
        <v>8</v>
      </c>
      <c r="AA868" t="s">
        <v>2789</v>
      </c>
      <c r="AB868">
        <v>0.2</v>
      </c>
      <c r="AC868" t="s">
        <v>2794</v>
      </c>
      <c r="AD868">
        <v>21912.263999999999</v>
      </c>
      <c r="AE868">
        <v>5544.4839999999986</v>
      </c>
      <c r="AF868">
        <v>0.25303108797885965</v>
      </c>
      <c r="AG868" t="s">
        <v>2821</v>
      </c>
      <c r="AH868">
        <v>2025</v>
      </c>
      <c r="AI868" t="s">
        <v>2835</v>
      </c>
    </row>
    <row r="869" spans="1:35">
      <c r="A869" t="s">
        <v>2669</v>
      </c>
      <c r="B869">
        <v>45617</v>
      </c>
      <c r="C869">
        <v>45618</v>
      </c>
      <c r="D869" t="s">
        <v>2670</v>
      </c>
      <c r="E869" t="s">
        <v>118</v>
      </c>
      <c r="F869" t="s">
        <v>95</v>
      </c>
      <c r="G869" t="s">
        <v>54</v>
      </c>
      <c r="H869" t="s">
        <v>84</v>
      </c>
      <c r="I869" t="s">
        <v>85</v>
      </c>
      <c r="J869" t="s">
        <v>74</v>
      </c>
      <c r="K869" t="s">
        <v>75</v>
      </c>
      <c r="L869" t="s">
        <v>2671</v>
      </c>
      <c r="M869" t="s">
        <v>44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155</v>
      </c>
      <c r="U869" t="s">
        <v>68</v>
      </c>
      <c r="V869" t="s">
        <v>2834</v>
      </c>
      <c r="W869" t="s">
        <v>2834</v>
      </c>
      <c r="X869" t="s">
        <v>2834</v>
      </c>
      <c r="Y869" t="s">
        <v>2834</v>
      </c>
      <c r="Z869">
        <v>1</v>
      </c>
      <c r="AA869" t="s">
        <v>2789</v>
      </c>
      <c r="AB869">
        <v>0.25</v>
      </c>
      <c r="AC869" t="s">
        <v>2794</v>
      </c>
      <c r="AD869">
        <v>4695.7049999999999</v>
      </c>
      <c r="AE869">
        <v>824.01499999999987</v>
      </c>
      <c r="AF869">
        <v>0.17548270174553127</v>
      </c>
      <c r="AG869" t="s">
        <v>2830</v>
      </c>
      <c r="AH869">
        <v>2024</v>
      </c>
      <c r="AI869" t="s">
        <v>2835</v>
      </c>
    </row>
    <row r="870" spans="1:35">
      <c r="A870" t="s">
        <v>2672</v>
      </c>
      <c r="B870">
        <v>45758</v>
      </c>
      <c r="C870">
        <v>45762</v>
      </c>
      <c r="D870" t="s">
        <v>2673</v>
      </c>
      <c r="E870" t="s">
        <v>71</v>
      </c>
      <c r="F870" t="s">
        <v>95</v>
      </c>
      <c r="G870" t="s">
        <v>54</v>
      </c>
      <c r="H870" t="s">
        <v>175</v>
      </c>
      <c r="I870" t="s">
        <v>176</v>
      </c>
      <c r="J870" t="s">
        <v>28</v>
      </c>
      <c r="K870" t="s">
        <v>124</v>
      </c>
      <c r="L870" t="s">
        <v>2674</v>
      </c>
      <c r="M870" t="s">
        <v>44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32</v>
      </c>
      <c r="U870" t="s">
        <v>33</v>
      </c>
      <c r="V870" t="s">
        <v>2834</v>
      </c>
      <c r="W870" t="s">
        <v>2834</v>
      </c>
      <c r="X870" t="s">
        <v>2834</v>
      </c>
      <c r="Y870" t="s">
        <v>2834</v>
      </c>
      <c r="Z870">
        <v>4</v>
      </c>
      <c r="AA870" t="s">
        <v>2789</v>
      </c>
      <c r="AB870">
        <v>0.05</v>
      </c>
      <c r="AC870" t="s">
        <v>2794</v>
      </c>
      <c r="AD870">
        <v>1923.2369999999999</v>
      </c>
      <c r="AE870">
        <v>829.57699999999977</v>
      </c>
      <c r="AF870">
        <v>0.43134413491420964</v>
      </c>
      <c r="AG870" t="s">
        <v>2823</v>
      </c>
      <c r="AH870">
        <v>2025</v>
      </c>
      <c r="AI870" t="s">
        <v>2835</v>
      </c>
    </row>
    <row r="871" spans="1:35">
      <c r="A871" t="s">
        <v>2675</v>
      </c>
      <c r="B871">
        <v>45722</v>
      </c>
      <c r="C871">
        <v>45723</v>
      </c>
      <c r="D871" t="s">
        <v>2676</v>
      </c>
      <c r="E871" t="s">
        <v>141</v>
      </c>
      <c r="F871" t="s">
        <v>95</v>
      </c>
      <c r="G871" t="s">
        <v>2791</v>
      </c>
      <c r="H871" t="s">
        <v>350</v>
      </c>
      <c r="I871" t="s">
        <v>351</v>
      </c>
      <c r="J871" t="s">
        <v>41</v>
      </c>
      <c r="K871" t="s">
        <v>66</v>
      </c>
      <c r="L871" t="s">
        <v>1147</v>
      </c>
      <c r="M871" t="s">
        <v>44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32</v>
      </c>
      <c r="U871" t="s">
        <v>33</v>
      </c>
      <c r="V871" t="s">
        <v>2834</v>
      </c>
      <c r="W871" t="s">
        <v>2834</v>
      </c>
      <c r="X871" t="s">
        <v>2834</v>
      </c>
      <c r="Y871" t="s">
        <v>2834</v>
      </c>
      <c r="Z871">
        <v>1</v>
      </c>
      <c r="AA871" t="s">
        <v>2789</v>
      </c>
      <c r="AB871">
        <v>0.1</v>
      </c>
      <c r="AC871" t="s">
        <v>2794</v>
      </c>
      <c r="AD871">
        <v>4301.91</v>
      </c>
      <c r="AE871">
        <v>1927.5099999999998</v>
      </c>
      <c r="AF871">
        <v>0.44805911792668834</v>
      </c>
      <c r="AG871" t="s">
        <v>2822</v>
      </c>
      <c r="AH871">
        <v>2025</v>
      </c>
      <c r="AI871" t="s">
        <v>2838</v>
      </c>
    </row>
    <row r="872" spans="1:35">
      <c r="A872" t="s">
        <v>2677</v>
      </c>
      <c r="B872">
        <v>45814</v>
      </c>
      <c r="C872">
        <v>45815</v>
      </c>
      <c r="D872" t="s">
        <v>2678</v>
      </c>
      <c r="E872" t="s">
        <v>71</v>
      </c>
      <c r="F872" t="s">
        <v>90</v>
      </c>
      <c r="G872" t="s">
        <v>63</v>
      </c>
      <c r="H872" t="s">
        <v>190</v>
      </c>
      <c r="I872" t="s">
        <v>191</v>
      </c>
      <c r="J872" t="s">
        <v>41</v>
      </c>
      <c r="K872" t="s">
        <v>42</v>
      </c>
      <c r="L872" t="s">
        <v>2679</v>
      </c>
      <c r="M872" t="s">
        <v>59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32</v>
      </c>
      <c r="U872" t="s">
        <v>68</v>
      </c>
      <c r="V872" t="s">
        <v>2834</v>
      </c>
      <c r="W872" t="s">
        <v>2834</v>
      </c>
      <c r="X872" t="s">
        <v>2834</v>
      </c>
      <c r="Y872" t="s">
        <v>2834</v>
      </c>
      <c r="Z872">
        <v>1</v>
      </c>
      <c r="AA872" t="s">
        <v>2789</v>
      </c>
      <c r="AB872">
        <v>0.15</v>
      </c>
      <c r="AC872" t="s">
        <v>2794</v>
      </c>
      <c r="AD872">
        <v>22436.838</v>
      </c>
      <c r="AE872">
        <v>4982.1680000000015</v>
      </c>
      <c r="AF872">
        <v>0.22205303617203109</v>
      </c>
      <c r="AG872" t="s">
        <v>2825</v>
      </c>
      <c r="AH872">
        <v>2025</v>
      </c>
      <c r="AI872" t="s">
        <v>2835</v>
      </c>
    </row>
    <row r="873" spans="1:35">
      <c r="A873" t="s">
        <v>2680</v>
      </c>
      <c r="B873">
        <v>45342</v>
      </c>
      <c r="C873">
        <v>45344</v>
      </c>
      <c r="D873" t="s">
        <v>2551</v>
      </c>
      <c r="E873" t="s">
        <v>79</v>
      </c>
      <c r="F873" t="s">
        <v>37</v>
      </c>
      <c r="G873" t="s">
        <v>54</v>
      </c>
      <c r="H873" t="s">
        <v>55</v>
      </c>
      <c r="I873" t="s">
        <v>56</v>
      </c>
      <c r="J873" t="s">
        <v>74</v>
      </c>
      <c r="K873" t="s">
        <v>75</v>
      </c>
      <c r="L873" t="s">
        <v>2681</v>
      </c>
      <c r="M873" t="s">
        <v>50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102</v>
      </c>
      <c r="U873" t="s">
        <v>68</v>
      </c>
      <c r="V873" t="s">
        <v>2834</v>
      </c>
      <c r="W873" t="s">
        <v>2834</v>
      </c>
      <c r="X873" t="s">
        <v>2834</v>
      </c>
      <c r="Y873" t="s">
        <v>2834</v>
      </c>
      <c r="Z873">
        <v>2</v>
      </c>
      <c r="AA873" t="s">
        <v>2789</v>
      </c>
      <c r="AB873">
        <v>0</v>
      </c>
      <c r="AC873" t="s">
        <v>2794</v>
      </c>
      <c r="AD873">
        <v>19676.07</v>
      </c>
      <c r="AE873">
        <v>7217.4499999999989</v>
      </c>
      <c r="AF873">
        <v>0.36681359641432454</v>
      </c>
      <c r="AG873" t="s">
        <v>2821</v>
      </c>
      <c r="AH873">
        <v>2024</v>
      </c>
      <c r="AI873" t="s">
        <v>2835</v>
      </c>
    </row>
    <row r="874" spans="1:35">
      <c r="A874" t="s">
        <v>2682</v>
      </c>
      <c r="B874">
        <v>45597</v>
      </c>
      <c r="C874">
        <v>45598</v>
      </c>
      <c r="D874" t="s">
        <v>1960</v>
      </c>
      <c r="E874" t="s">
        <v>23</v>
      </c>
      <c r="F874" t="s">
        <v>90</v>
      </c>
      <c r="G874" t="s">
        <v>38</v>
      </c>
      <c r="H874" t="s">
        <v>99</v>
      </c>
      <c r="I874" t="s">
        <v>100</v>
      </c>
      <c r="J874" t="s">
        <v>41</v>
      </c>
      <c r="K874" t="s">
        <v>57</v>
      </c>
      <c r="L874" t="s">
        <v>2683</v>
      </c>
      <c r="M874" t="s">
        <v>59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32</v>
      </c>
      <c r="U874" t="s">
        <v>33</v>
      </c>
      <c r="V874" t="s">
        <v>2834</v>
      </c>
      <c r="W874" t="s">
        <v>2834</v>
      </c>
      <c r="X874" t="s">
        <v>2834</v>
      </c>
      <c r="Y874" t="s">
        <v>2834</v>
      </c>
      <c r="Z874">
        <v>1</v>
      </c>
      <c r="AA874" t="s">
        <v>2789</v>
      </c>
      <c r="AB874">
        <v>0.2</v>
      </c>
      <c r="AC874" t="s">
        <v>2794</v>
      </c>
      <c r="AD874">
        <v>8848.08</v>
      </c>
      <c r="AE874">
        <v>3156.5199999999995</v>
      </c>
      <c r="AF874">
        <v>0.35674632236598219</v>
      </c>
      <c r="AG874" t="s">
        <v>2830</v>
      </c>
      <c r="AH874">
        <v>2024</v>
      </c>
      <c r="AI874" t="s">
        <v>2835</v>
      </c>
    </row>
    <row r="875" spans="1:35">
      <c r="A875" t="s">
        <v>2684</v>
      </c>
      <c r="B875">
        <v>45689</v>
      </c>
      <c r="C875">
        <v>45696</v>
      </c>
      <c r="D875" t="s">
        <v>2685</v>
      </c>
      <c r="E875" t="s">
        <v>89</v>
      </c>
      <c r="F875" t="s">
        <v>95</v>
      </c>
      <c r="G875" t="s">
        <v>63</v>
      </c>
      <c r="H875" t="s">
        <v>180</v>
      </c>
      <c r="I875" t="s">
        <v>181</v>
      </c>
      <c r="J875" t="s">
        <v>28</v>
      </c>
      <c r="K875" t="s">
        <v>124</v>
      </c>
      <c r="L875" t="s">
        <v>2686</v>
      </c>
      <c r="M875" t="s">
        <v>31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32</v>
      </c>
      <c r="U875" t="s">
        <v>33</v>
      </c>
      <c r="V875" t="s">
        <v>2834</v>
      </c>
      <c r="W875" t="s">
        <v>2834</v>
      </c>
      <c r="X875" t="s">
        <v>2834</v>
      </c>
      <c r="Y875" t="s">
        <v>2834</v>
      </c>
      <c r="Z875">
        <v>7</v>
      </c>
      <c r="AA875" t="s">
        <v>2789</v>
      </c>
      <c r="AB875">
        <v>0.1</v>
      </c>
      <c r="AC875" t="s">
        <v>2794</v>
      </c>
      <c r="AD875">
        <v>4487.8319999999994</v>
      </c>
      <c r="AE875">
        <v>1854.0519999999992</v>
      </c>
      <c r="AF875">
        <v>0.41312865543986482</v>
      </c>
      <c r="AG875" t="s">
        <v>2821</v>
      </c>
      <c r="AH875">
        <v>2025</v>
      </c>
      <c r="AI875" t="s">
        <v>2835</v>
      </c>
    </row>
    <row r="876" spans="1:35">
      <c r="A876" t="s">
        <v>2687</v>
      </c>
      <c r="B876">
        <v>45853</v>
      </c>
      <c r="C876">
        <v>45854</v>
      </c>
      <c r="D876" t="s">
        <v>2688</v>
      </c>
      <c r="E876" t="s">
        <v>71</v>
      </c>
      <c r="F876" t="s">
        <v>37</v>
      </c>
      <c r="G876" t="s">
        <v>63</v>
      </c>
      <c r="H876" t="s">
        <v>64</v>
      </c>
      <c r="I876" t="s">
        <v>65</v>
      </c>
      <c r="J876" t="s">
        <v>28</v>
      </c>
      <c r="K876" t="s">
        <v>29</v>
      </c>
      <c r="L876" t="s">
        <v>2689</v>
      </c>
      <c r="M876" t="s">
        <v>59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32</v>
      </c>
      <c r="U876" t="s">
        <v>33</v>
      </c>
      <c r="V876" t="s">
        <v>2834</v>
      </c>
      <c r="W876" t="s">
        <v>2834</v>
      </c>
      <c r="X876" t="s">
        <v>2834</v>
      </c>
      <c r="Y876" t="s">
        <v>2834</v>
      </c>
      <c r="Z876">
        <v>1</v>
      </c>
      <c r="AA876" t="s">
        <v>2789</v>
      </c>
      <c r="AB876">
        <v>0.05</v>
      </c>
      <c r="AC876" t="s">
        <v>2794</v>
      </c>
      <c r="AD876">
        <v>29829.088</v>
      </c>
      <c r="AE876">
        <v>9118.9079999999994</v>
      </c>
      <c r="AF876">
        <v>0.30570522303598419</v>
      </c>
      <c r="AG876" t="s">
        <v>2826</v>
      </c>
      <c r="AH876">
        <v>2025</v>
      </c>
      <c r="AI876" t="s">
        <v>2835</v>
      </c>
    </row>
    <row r="877" spans="1:35">
      <c r="A877" t="s">
        <v>2690</v>
      </c>
      <c r="B877">
        <v>45514</v>
      </c>
      <c r="C877">
        <v>45515</v>
      </c>
      <c r="D877" t="s">
        <v>2691</v>
      </c>
      <c r="E877" t="s">
        <v>36</v>
      </c>
      <c r="F877" t="s">
        <v>90</v>
      </c>
      <c r="G877" t="s">
        <v>63</v>
      </c>
      <c r="H877" t="s">
        <v>64</v>
      </c>
      <c r="I877" t="s">
        <v>65</v>
      </c>
      <c r="J877" t="s">
        <v>74</v>
      </c>
      <c r="K877" t="s">
        <v>80</v>
      </c>
      <c r="L877" t="s">
        <v>2692</v>
      </c>
      <c r="M877" t="s">
        <v>50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32</v>
      </c>
      <c r="U877" t="s">
        <v>33</v>
      </c>
      <c r="V877" t="s">
        <v>2834</v>
      </c>
      <c r="W877" t="s">
        <v>2834</v>
      </c>
      <c r="X877" t="s">
        <v>2834</v>
      </c>
      <c r="Y877" t="s">
        <v>2834</v>
      </c>
      <c r="Z877">
        <v>1</v>
      </c>
      <c r="AA877" t="s">
        <v>2789</v>
      </c>
      <c r="AB877">
        <v>0.2</v>
      </c>
      <c r="AC877" t="s">
        <v>2794</v>
      </c>
      <c r="AD877">
        <v>21574.672000000002</v>
      </c>
      <c r="AE877">
        <v>6901.8420000000024</v>
      </c>
      <c r="AF877">
        <v>0.31990484026825539</v>
      </c>
      <c r="AG877" t="s">
        <v>2827</v>
      </c>
      <c r="AH877">
        <v>2024</v>
      </c>
      <c r="AI877" t="s">
        <v>2835</v>
      </c>
    </row>
    <row r="878" spans="1:35">
      <c r="A878" t="s">
        <v>2693</v>
      </c>
      <c r="B878">
        <v>45614</v>
      </c>
      <c r="C878">
        <v>45616</v>
      </c>
      <c r="D878" t="s">
        <v>2694</v>
      </c>
      <c r="E878" t="s">
        <v>114</v>
      </c>
      <c r="F878" t="s">
        <v>24</v>
      </c>
      <c r="G878" t="s">
        <v>63</v>
      </c>
      <c r="H878" t="s">
        <v>26</v>
      </c>
      <c r="I878" t="s">
        <v>109</v>
      </c>
      <c r="J878" t="s">
        <v>41</v>
      </c>
      <c r="K878" t="s">
        <v>66</v>
      </c>
      <c r="L878" t="s">
        <v>845</v>
      </c>
      <c r="M878" t="s">
        <v>50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32</v>
      </c>
      <c r="U878" t="s">
        <v>33</v>
      </c>
      <c r="V878" t="s">
        <v>2834</v>
      </c>
      <c r="W878" t="s">
        <v>2834</v>
      </c>
      <c r="X878" t="s">
        <v>2834</v>
      </c>
      <c r="Y878" t="s">
        <v>2834</v>
      </c>
      <c r="Z878">
        <v>2</v>
      </c>
      <c r="AA878" t="s">
        <v>2789</v>
      </c>
      <c r="AB878">
        <v>0</v>
      </c>
      <c r="AC878" t="s">
        <v>2794</v>
      </c>
      <c r="AD878">
        <v>22741.32</v>
      </c>
      <c r="AE878">
        <v>6352.75</v>
      </c>
      <c r="AF878">
        <v>0.27934834037777928</v>
      </c>
      <c r="AG878" t="s">
        <v>2830</v>
      </c>
      <c r="AH878">
        <v>2024</v>
      </c>
      <c r="AI878" t="s">
        <v>2835</v>
      </c>
    </row>
    <row r="879" spans="1:35">
      <c r="A879" t="s">
        <v>2695</v>
      </c>
      <c r="B879">
        <v>45895</v>
      </c>
      <c r="C879">
        <v>45903</v>
      </c>
      <c r="D879" t="s">
        <v>2696</v>
      </c>
      <c r="E879" t="s">
        <v>128</v>
      </c>
      <c r="F879" t="s">
        <v>24</v>
      </c>
      <c r="G879" t="s">
        <v>63</v>
      </c>
      <c r="H879" t="s">
        <v>26</v>
      </c>
      <c r="I879" t="s">
        <v>109</v>
      </c>
      <c r="J879" t="s">
        <v>28</v>
      </c>
      <c r="K879" t="s">
        <v>124</v>
      </c>
      <c r="L879" t="s">
        <v>2697</v>
      </c>
      <c r="M879" t="s">
        <v>31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32</v>
      </c>
      <c r="U879" t="s">
        <v>33</v>
      </c>
      <c r="V879" t="s">
        <v>2834</v>
      </c>
      <c r="W879" t="s">
        <v>2834</v>
      </c>
      <c r="X879" t="s">
        <v>2834</v>
      </c>
      <c r="Y879" t="s">
        <v>2834</v>
      </c>
      <c r="Z879">
        <v>8</v>
      </c>
      <c r="AA879" t="s">
        <v>2789</v>
      </c>
      <c r="AB879">
        <v>0.1</v>
      </c>
      <c r="AC879" t="s">
        <v>2794</v>
      </c>
      <c r="AD879">
        <v>3641.5439999999999</v>
      </c>
      <c r="AE879">
        <v>951.17399999999998</v>
      </c>
      <c r="AF879">
        <v>0.26120074342092253</v>
      </c>
      <c r="AG879" t="s">
        <v>2827</v>
      </c>
      <c r="AH879">
        <v>2025</v>
      </c>
      <c r="AI879" t="s">
        <v>2835</v>
      </c>
    </row>
    <row r="880" spans="1:35">
      <c r="A880" t="s">
        <v>2698</v>
      </c>
      <c r="B880">
        <v>45313</v>
      </c>
      <c r="C880">
        <v>45313</v>
      </c>
      <c r="D880" t="s">
        <v>2699</v>
      </c>
      <c r="E880" t="s">
        <v>23</v>
      </c>
      <c r="F880" t="s">
        <v>90</v>
      </c>
      <c r="G880" t="s">
        <v>38</v>
      </c>
      <c r="H880" t="s">
        <v>99</v>
      </c>
      <c r="I880" t="s">
        <v>100</v>
      </c>
      <c r="J880" t="s">
        <v>28</v>
      </c>
      <c r="K880" t="s">
        <v>29</v>
      </c>
      <c r="L880" t="s">
        <v>2700</v>
      </c>
      <c r="M880" t="s">
        <v>50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32</v>
      </c>
      <c r="U880" t="s">
        <v>33</v>
      </c>
      <c r="V880" t="s">
        <v>2834</v>
      </c>
      <c r="W880" t="s">
        <v>2834</v>
      </c>
      <c r="X880" t="s">
        <v>2834</v>
      </c>
      <c r="Y880" t="s">
        <v>2834</v>
      </c>
      <c r="Z880">
        <v>0</v>
      </c>
      <c r="AA880" t="s">
        <v>2789</v>
      </c>
      <c r="AB880">
        <v>0.05</v>
      </c>
      <c r="AC880" t="s">
        <v>2794</v>
      </c>
      <c r="AD880">
        <v>11834.796</v>
      </c>
      <c r="AE880">
        <v>2512.4359999999997</v>
      </c>
      <c r="AF880">
        <v>0.21229229468763125</v>
      </c>
      <c r="AG880" t="s">
        <v>2820</v>
      </c>
      <c r="AH880">
        <v>2024</v>
      </c>
      <c r="AI880" t="s">
        <v>2835</v>
      </c>
    </row>
    <row r="881" spans="1:35">
      <c r="A881" t="s">
        <v>2701</v>
      </c>
      <c r="B881">
        <v>45896</v>
      </c>
      <c r="C881">
        <v>45897</v>
      </c>
      <c r="D881" t="s">
        <v>2702</v>
      </c>
      <c r="E881" t="s">
        <v>62</v>
      </c>
      <c r="F881" t="s">
        <v>95</v>
      </c>
      <c r="G881" t="s">
        <v>25</v>
      </c>
      <c r="H881" t="s">
        <v>136</v>
      </c>
      <c r="I881" t="s">
        <v>137</v>
      </c>
      <c r="J881" t="s">
        <v>28</v>
      </c>
      <c r="K881" t="s">
        <v>48</v>
      </c>
      <c r="L881" t="s">
        <v>2703</v>
      </c>
      <c r="M881" t="s">
        <v>59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32</v>
      </c>
      <c r="U881" t="s">
        <v>33</v>
      </c>
      <c r="V881" t="s">
        <v>2834</v>
      </c>
      <c r="W881" t="s">
        <v>2834</v>
      </c>
      <c r="X881" t="s">
        <v>2834</v>
      </c>
      <c r="Y881" t="s">
        <v>2834</v>
      </c>
      <c r="Z881">
        <v>1</v>
      </c>
      <c r="AA881" t="s">
        <v>2789</v>
      </c>
      <c r="AB881">
        <v>0.15</v>
      </c>
      <c r="AC881" t="s">
        <v>2794</v>
      </c>
      <c r="AD881">
        <v>6028.3530000000001</v>
      </c>
      <c r="AE881">
        <v>1594.723</v>
      </c>
      <c r="AF881">
        <v>0.26453709661660491</v>
      </c>
      <c r="AG881" t="s">
        <v>2827</v>
      </c>
      <c r="AH881">
        <v>2025</v>
      </c>
      <c r="AI881" t="s">
        <v>2835</v>
      </c>
    </row>
    <row r="882" spans="1:35">
      <c r="A882" t="s">
        <v>2704</v>
      </c>
      <c r="B882">
        <v>45359</v>
      </c>
      <c r="C882">
        <v>45366</v>
      </c>
      <c r="D882" t="s">
        <v>2705</v>
      </c>
      <c r="E882" t="s">
        <v>128</v>
      </c>
      <c r="F882" t="s">
        <v>37</v>
      </c>
      <c r="G882" t="s">
        <v>2791</v>
      </c>
      <c r="H882" t="s">
        <v>122</v>
      </c>
      <c r="I882" t="s">
        <v>123</v>
      </c>
      <c r="J882" t="s">
        <v>41</v>
      </c>
      <c r="K882" t="s">
        <v>66</v>
      </c>
      <c r="L882" t="s">
        <v>2706</v>
      </c>
      <c r="M882" t="s">
        <v>50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32</v>
      </c>
      <c r="U882" t="s">
        <v>33</v>
      </c>
      <c r="V882" t="s">
        <v>2834</v>
      </c>
      <c r="W882" t="s">
        <v>2834</v>
      </c>
      <c r="X882" t="s">
        <v>2834</v>
      </c>
      <c r="Y882" t="s">
        <v>2834</v>
      </c>
      <c r="Z882">
        <v>7</v>
      </c>
      <c r="AA882" t="s">
        <v>2789</v>
      </c>
      <c r="AB882">
        <v>0</v>
      </c>
      <c r="AC882" t="s">
        <v>2794</v>
      </c>
      <c r="AD882">
        <v>16173.85</v>
      </c>
      <c r="AE882">
        <v>2537.5100000000002</v>
      </c>
      <c r="AF882">
        <v>0.15688967067210344</v>
      </c>
      <c r="AG882" t="s">
        <v>2822</v>
      </c>
      <c r="AH882">
        <v>2024</v>
      </c>
      <c r="AI882" t="s">
        <v>2838</v>
      </c>
    </row>
    <row r="883" spans="1:35">
      <c r="A883" t="s">
        <v>2707</v>
      </c>
      <c r="B883">
        <v>45627</v>
      </c>
      <c r="C883">
        <v>45631</v>
      </c>
      <c r="D883" t="s">
        <v>2708</v>
      </c>
      <c r="E883" t="s">
        <v>62</v>
      </c>
      <c r="F883" t="s">
        <v>37</v>
      </c>
      <c r="G883" t="s">
        <v>54</v>
      </c>
      <c r="H883" t="s">
        <v>84</v>
      </c>
      <c r="I883" t="s">
        <v>85</v>
      </c>
      <c r="J883" t="s">
        <v>74</v>
      </c>
      <c r="K883" t="s">
        <v>80</v>
      </c>
      <c r="L883" t="s">
        <v>2709</v>
      </c>
      <c r="M883" t="s">
        <v>31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32</v>
      </c>
      <c r="U883" t="s">
        <v>33</v>
      </c>
      <c r="V883" t="s">
        <v>2834</v>
      </c>
      <c r="W883" t="s">
        <v>2834</v>
      </c>
      <c r="X883" t="s">
        <v>2834</v>
      </c>
      <c r="Y883" t="s">
        <v>2834</v>
      </c>
      <c r="Z883">
        <v>4</v>
      </c>
      <c r="AA883" t="s">
        <v>2789</v>
      </c>
      <c r="AB883">
        <v>0.25</v>
      </c>
      <c r="AC883" t="s">
        <v>2794</v>
      </c>
      <c r="AD883">
        <v>25155.5625</v>
      </c>
      <c r="AE883">
        <v>7562.8725000000013</v>
      </c>
      <c r="AF883">
        <v>0.30064414182747856</v>
      </c>
      <c r="AG883" t="s">
        <v>2831</v>
      </c>
      <c r="AH883">
        <v>2024</v>
      </c>
      <c r="AI883" t="s">
        <v>2835</v>
      </c>
    </row>
    <row r="884" spans="1:35">
      <c r="A884" t="s">
        <v>2710</v>
      </c>
      <c r="B884">
        <v>45690</v>
      </c>
      <c r="C884">
        <v>45698</v>
      </c>
      <c r="D884" t="s">
        <v>2711</v>
      </c>
      <c r="E884" t="s">
        <v>132</v>
      </c>
      <c r="F884" t="s">
        <v>90</v>
      </c>
      <c r="G884" t="s">
        <v>38</v>
      </c>
      <c r="H884" t="s">
        <v>145</v>
      </c>
      <c r="I884" t="s">
        <v>146</v>
      </c>
      <c r="J884" t="s">
        <v>74</v>
      </c>
      <c r="K884" t="s">
        <v>75</v>
      </c>
      <c r="L884" t="s">
        <v>2712</v>
      </c>
      <c r="M884" t="s">
        <v>59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111</v>
      </c>
      <c r="U884" t="s">
        <v>103</v>
      </c>
      <c r="V884" t="s">
        <v>2834</v>
      </c>
      <c r="W884" t="s">
        <v>2834</v>
      </c>
      <c r="X884" t="s">
        <v>2834</v>
      </c>
      <c r="Y884" t="s">
        <v>2834</v>
      </c>
      <c r="Z884">
        <v>8</v>
      </c>
      <c r="AA884" t="s">
        <v>2789</v>
      </c>
      <c r="AB884">
        <v>0</v>
      </c>
      <c r="AC884" t="s">
        <v>2794</v>
      </c>
      <c r="AD884">
        <v>7649.8</v>
      </c>
      <c r="AE884">
        <v>2755.2700000000004</v>
      </c>
      <c r="AF884">
        <v>0.36017542942299152</v>
      </c>
      <c r="AG884" t="s">
        <v>2821</v>
      </c>
      <c r="AH884">
        <v>2025</v>
      </c>
      <c r="AI884" t="s">
        <v>2835</v>
      </c>
    </row>
    <row r="885" spans="1:35">
      <c r="A885" t="s">
        <v>2713</v>
      </c>
      <c r="B885">
        <v>45775</v>
      </c>
      <c r="C885">
        <v>45778</v>
      </c>
      <c r="D885" t="s">
        <v>2714</v>
      </c>
      <c r="E885" t="s">
        <v>128</v>
      </c>
      <c r="F885" t="s">
        <v>37</v>
      </c>
      <c r="G885" t="s">
        <v>63</v>
      </c>
      <c r="H885" t="s">
        <v>190</v>
      </c>
      <c r="I885" t="s">
        <v>191</v>
      </c>
      <c r="J885" t="s">
        <v>28</v>
      </c>
      <c r="K885" t="s">
        <v>124</v>
      </c>
      <c r="L885" t="s">
        <v>2715</v>
      </c>
      <c r="M885" t="s">
        <v>44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32</v>
      </c>
      <c r="U885" t="s">
        <v>33</v>
      </c>
      <c r="V885" t="s">
        <v>2834</v>
      </c>
      <c r="W885" t="s">
        <v>2834</v>
      </c>
      <c r="X885" t="s">
        <v>2834</v>
      </c>
      <c r="Y885" t="s">
        <v>2834</v>
      </c>
      <c r="Z885">
        <v>3</v>
      </c>
      <c r="AA885" t="s">
        <v>2789</v>
      </c>
      <c r="AB885">
        <v>0</v>
      </c>
      <c r="AC885" t="s">
        <v>2794</v>
      </c>
      <c r="AD885">
        <v>1620.87</v>
      </c>
      <c r="AE885">
        <v>517.26</v>
      </c>
      <c r="AF885">
        <v>0.31912491439782342</v>
      </c>
      <c r="AG885" t="s">
        <v>2823</v>
      </c>
      <c r="AH885">
        <v>2025</v>
      </c>
      <c r="AI885" t="s">
        <v>2835</v>
      </c>
    </row>
    <row r="886" spans="1:35">
      <c r="A886" t="s">
        <v>2716</v>
      </c>
      <c r="B886">
        <v>45675</v>
      </c>
      <c r="C886">
        <v>45682</v>
      </c>
      <c r="D886" t="s">
        <v>2717</v>
      </c>
      <c r="E886" t="s">
        <v>79</v>
      </c>
      <c r="F886" t="s">
        <v>95</v>
      </c>
      <c r="G886" t="s">
        <v>54</v>
      </c>
      <c r="H886" t="s">
        <v>175</v>
      </c>
      <c r="I886" t="s">
        <v>176</v>
      </c>
      <c r="J886" t="s">
        <v>28</v>
      </c>
      <c r="K886" t="s">
        <v>124</v>
      </c>
      <c r="L886" t="s">
        <v>2718</v>
      </c>
      <c r="M886" t="s">
        <v>44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32</v>
      </c>
      <c r="U886" t="s">
        <v>33</v>
      </c>
      <c r="V886" t="s">
        <v>2834</v>
      </c>
      <c r="W886" t="s">
        <v>2834</v>
      </c>
      <c r="X886" t="s">
        <v>2834</v>
      </c>
      <c r="Y886" t="s">
        <v>2834</v>
      </c>
      <c r="Z886">
        <v>7</v>
      </c>
      <c r="AA886" t="s">
        <v>2789</v>
      </c>
      <c r="AB886">
        <v>0.15</v>
      </c>
      <c r="AC886" t="s">
        <v>2794</v>
      </c>
      <c r="AD886">
        <v>3567.518</v>
      </c>
      <c r="AE886">
        <v>1155.7179999999998</v>
      </c>
      <c r="AF886">
        <v>0.32395575859743381</v>
      </c>
      <c r="AG886" t="s">
        <v>2820</v>
      </c>
      <c r="AH886">
        <v>2025</v>
      </c>
      <c r="AI886" t="s">
        <v>2835</v>
      </c>
    </row>
    <row r="887" spans="1:35">
      <c r="A887" t="s">
        <v>2719</v>
      </c>
      <c r="B887">
        <v>45296</v>
      </c>
      <c r="C887">
        <v>45296</v>
      </c>
      <c r="D887" t="s">
        <v>2720</v>
      </c>
      <c r="E887" t="s">
        <v>162</v>
      </c>
      <c r="F887" t="s">
        <v>24</v>
      </c>
      <c r="G887" t="s">
        <v>25</v>
      </c>
      <c r="H887" t="s">
        <v>26</v>
      </c>
      <c r="I887" t="s">
        <v>27</v>
      </c>
      <c r="J887" t="s">
        <v>41</v>
      </c>
      <c r="K887" t="s">
        <v>42</v>
      </c>
      <c r="L887" t="s">
        <v>2721</v>
      </c>
      <c r="M887" t="s">
        <v>59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32</v>
      </c>
      <c r="U887" t="s">
        <v>33</v>
      </c>
      <c r="V887" t="s">
        <v>2834</v>
      </c>
      <c r="W887" t="s">
        <v>2834</v>
      </c>
      <c r="X887" t="s">
        <v>2834</v>
      </c>
      <c r="Y887" t="s">
        <v>2834</v>
      </c>
      <c r="Z887">
        <v>0</v>
      </c>
      <c r="AA887" t="s">
        <v>2789</v>
      </c>
      <c r="AB887">
        <v>0.25</v>
      </c>
      <c r="AC887" t="s">
        <v>2794</v>
      </c>
      <c r="AD887">
        <v>1625.31</v>
      </c>
      <c r="AE887">
        <v>467.41999999999985</v>
      </c>
      <c r="AF887">
        <v>0.28758821394072509</v>
      </c>
      <c r="AG887" t="s">
        <v>2820</v>
      </c>
      <c r="AH887">
        <v>2024</v>
      </c>
      <c r="AI887" t="s">
        <v>2835</v>
      </c>
    </row>
    <row r="888" spans="1:35">
      <c r="A888" t="s">
        <v>2722</v>
      </c>
      <c r="B888">
        <v>45773</v>
      </c>
      <c r="C888">
        <v>45780</v>
      </c>
      <c r="D888" t="s">
        <v>2723</v>
      </c>
      <c r="E888" t="s">
        <v>53</v>
      </c>
      <c r="F888" t="s">
        <v>95</v>
      </c>
      <c r="G888" t="s">
        <v>54</v>
      </c>
      <c r="H888" t="s">
        <v>247</v>
      </c>
      <c r="I888" t="s">
        <v>248</v>
      </c>
      <c r="J888" t="s">
        <v>74</v>
      </c>
      <c r="K888" t="s">
        <v>75</v>
      </c>
      <c r="L888" t="s">
        <v>2724</v>
      </c>
      <c r="M888" t="s">
        <v>50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32</v>
      </c>
      <c r="U888" t="s">
        <v>68</v>
      </c>
      <c r="V888" t="s">
        <v>2834</v>
      </c>
      <c r="W888" t="s">
        <v>2834</v>
      </c>
      <c r="X888" t="s">
        <v>2834</v>
      </c>
      <c r="Y888" t="s">
        <v>2834</v>
      </c>
      <c r="Z888">
        <v>7</v>
      </c>
      <c r="AA888" t="s">
        <v>2789</v>
      </c>
      <c r="AB888">
        <v>0.15</v>
      </c>
      <c r="AC888" t="s">
        <v>2794</v>
      </c>
      <c r="AD888">
        <v>23739.904999999999</v>
      </c>
      <c r="AE888">
        <v>6023.3849999999984</v>
      </c>
      <c r="AF888">
        <v>0.25372405660427028</v>
      </c>
      <c r="AG888" t="s">
        <v>2823</v>
      </c>
      <c r="AH888">
        <v>2025</v>
      </c>
      <c r="AI888" t="s">
        <v>2835</v>
      </c>
    </row>
    <row r="889" spans="1:35">
      <c r="A889" t="s">
        <v>2725</v>
      </c>
      <c r="B889">
        <v>45455</v>
      </c>
      <c r="C889">
        <v>45461</v>
      </c>
      <c r="D889" t="s">
        <v>2726</v>
      </c>
      <c r="E889" t="s">
        <v>128</v>
      </c>
      <c r="F889" t="s">
        <v>37</v>
      </c>
      <c r="G889" t="s">
        <v>54</v>
      </c>
      <c r="H889" t="s">
        <v>84</v>
      </c>
      <c r="I889" t="s">
        <v>85</v>
      </c>
      <c r="J889" t="s">
        <v>28</v>
      </c>
      <c r="K889" t="s">
        <v>48</v>
      </c>
      <c r="L889" t="s">
        <v>2727</v>
      </c>
      <c r="M889" t="s">
        <v>59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32</v>
      </c>
      <c r="U889" t="s">
        <v>33</v>
      </c>
      <c r="V889" t="s">
        <v>2834</v>
      </c>
      <c r="W889" t="s">
        <v>2834</v>
      </c>
      <c r="X889" t="s">
        <v>2834</v>
      </c>
      <c r="Y889" t="s">
        <v>2834</v>
      </c>
      <c r="Z889">
        <v>6</v>
      </c>
      <c r="AA889" t="s">
        <v>2789</v>
      </c>
      <c r="AB889">
        <v>0</v>
      </c>
      <c r="AC889" t="s">
        <v>2794</v>
      </c>
      <c r="AD889">
        <v>16704.52</v>
      </c>
      <c r="AE889">
        <v>6546.24</v>
      </c>
      <c r="AF889">
        <v>0.39188435225914897</v>
      </c>
      <c r="AG889" t="s">
        <v>2825</v>
      </c>
      <c r="AH889">
        <v>2024</v>
      </c>
      <c r="AI889" t="s">
        <v>2835</v>
      </c>
    </row>
    <row r="890" spans="1:35">
      <c r="A890" t="s">
        <v>2728</v>
      </c>
      <c r="B890">
        <v>45875</v>
      </c>
      <c r="C890">
        <v>45876</v>
      </c>
      <c r="D890" t="s">
        <v>2729</v>
      </c>
      <c r="E890" t="s">
        <v>118</v>
      </c>
      <c r="F890" t="s">
        <v>37</v>
      </c>
      <c r="G890" t="s">
        <v>63</v>
      </c>
      <c r="H890" t="s">
        <v>64</v>
      </c>
      <c r="I890" t="s">
        <v>65</v>
      </c>
      <c r="J890" t="s">
        <v>28</v>
      </c>
      <c r="K890" t="s">
        <v>48</v>
      </c>
      <c r="L890" t="s">
        <v>2730</v>
      </c>
      <c r="M890" t="s">
        <v>59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102</v>
      </c>
      <c r="U890" t="s">
        <v>68</v>
      </c>
      <c r="V890" t="s">
        <v>2834</v>
      </c>
      <c r="W890" t="s">
        <v>2834</v>
      </c>
      <c r="X890" t="s">
        <v>2834</v>
      </c>
      <c r="Y890" t="s">
        <v>2834</v>
      </c>
      <c r="Z890">
        <v>1</v>
      </c>
      <c r="AA890" t="s">
        <v>2789</v>
      </c>
      <c r="AB890">
        <v>0.1</v>
      </c>
      <c r="AC890" t="s">
        <v>2794</v>
      </c>
      <c r="AD890">
        <v>12685.103999999999</v>
      </c>
      <c r="AE890">
        <v>1905.5439999999999</v>
      </c>
      <c r="AF890">
        <v>0.15021902855506741</v>
      </c>
      <c r="AG890" t="s">
        <v>2827</v>
      </c>
      <c r="AH890">
        <v>2025</v>
      </c>
      <c r="AI890" t="s">
        <v>2835</v>
      </c>
    </row>
    <row r="891" spans="1:35">
      <c r="A891" t="s">
        <v>2731</v>
      </c>
      <c r="B891">
        <v>45726</v>
      </c>
      <c r="C891">
        <v>45727</v>
      </c>
      <c r="D891" t="s">
        <v>883</v>
      </c>
      <c r="E891" t="s">
        <v>89</v>
      </c>
      <c r="F891" t="s">
        <v>95</v>
      </c>
      <c r="G891" t="s">
        <v>63</v>
      </c>
      <c r="H891" t="s">
        <v>72</v>
      </c>
      <c r="I891" t="s">
        <v>73</v>
      </c>
      <c r="J891" t="s">
        <v>28</v>
      </c>
      <c r="K891" t="s">
        <v>124</v>
      </c>
      <c r="L891" t="s">
        <v>2732</v>
      </c>
      <c r="M891" t="s">
        <v>50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32</v>
      </c>
      <c r="U891" t="s">
        <v>103</v>
      </c>
      <c r="V891" t="s">
        <v>2834</v>
      </c>
      <c r="W891" t="s">
        <v>2834</v>
      </c>
      <c r="X891" t="s">
        <v>2834</v>
      </c>
      <c r="Y891" t="s">
        <v>2834</v>
      </c>
      <c r="Z891">
        <v>1</v>
      </c>
      <c r="AA891" t="s">
        <v>2789</v>
      </c>
      <c r="AB891">
        <v>0.25</v>
      </c>
      <c r="AC891" t="s">
        <v>2794</v>
      </c>
      <c r="AD891">
        <v>5883.12</v>
      </c>
      <c r="AE891">
        <v>1235.21</v>
      </c>
      <c r="AF891">
        <v>0.20995832143488491</v>
      </c>
      <c r="AG891" t="s">
        <v>2822</v>
      </c>
      <c r="AH891">
        <v>2025</v>
      </c>
      <c r="AI891" t="s">
        <v>2835</v>
      </c>
    </row>
    <row r="892" spans="1:35">
      <c r="A892" t="s">
        <v>2733</v>
      </c>
      <c r="B892">
        <v>45427</v>
      </c>
      <c r="C892">
        <v>45433</v>
      </c>
      <c r="D892" t="s">
        <v>2734</v>
      </c>
      <c r="E892" t="s">
        <v>23</v>
      </c>
      <c r="F892" t="s">
        <v>24</v>
      </c>
      <c r="G892" t="s">
        <v>63</v>
      </c>
      <c r="H892" t="s">
        <v>190</v>
      </c>
      <c r="I892" t="s">
        <v>191</v>
      </c>
      <c r="J892" t="s">
        <v>28</v>
      </c>
      <c r="K892" t="s">
        <v>124</v>
      </c>
      <c r="L892" t="s">
        <v>2735</v>
      </c>
      <c r="M892" t="s">
        <v>59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32</v>
      </c>
      <c r="U892" t="s">
        <v>33</v>
      </c>
      <c r="V892" t="s">
        <v>2834</v>
      </c>
      <c r="W892" t="s">
        <v>2834</v>
      </c>
      <c r="X892" t="s">
        <v>2834</v>
      </c>
      <c r="Y892" t="s">
        <v>2834</v>
      </c>
      <c r="Z892">
        <v>6</v>
      </c>
      <c r="AA892" t="s">
        <v>2789</v>
      </c>
      <c r="AB892">
        <v>0.2</v>
      </c>
      <c r="AC892" t="s">
        <v>2794</v>
      </c>
      <c r="AD892">
        <v>13965.888000000001</v>
      </c>
      <c r="AE892">
        <v>2319.768</v>
      </c>
      <c r="AF892">
        <v>0.16610243473239938</v>
      </c>
      <c r="AG892" t="s">
        <v>2824</v>
      </c>
      <c r="AH892">
        <v>2024</v>
      </c>
      <c r="AI892" t="s">
        <v>2835</v>
      </c>
    </row>
    <row r="893" spans="1:35">
      <c r="A893" t="s">
        <v>2736</v>
      </c>
      <c r="B893">
        <v>45573</v>
      </c>
      <c r="C893">
        <v>45574</v>
      </c>
      <c r="D893" t="s">
        <v>2737</v>
      </c>
      <c r="E893" t="s">
        <v>264</v>
      </c>
      <c r="F893" t="s">
        <v>90</v>
      </c>
      <c r="G893" t="s">
        <v>54</v>
      </c>
      <c r="H893" t="s">
        <v>247</v>
      </c>
      <c r="I893" t="s">
        <v>248</v>
      </c>
      <c r="J893" t="s">
        <v>74</v>
      </c>
      <c r="K893" t="s">
        <v>274</v>
      </c>
      <c r="L893" t="s">
        <v>2738</v>
      </c>
      <c r="M893" t="s">
        <v>44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155</v>
      </c>
      <c r="U893" t="s">
        <v>68</v>
      </c>
      <c r="V893" t="s">
        <v>2834</v>
      </c>
      <c r="W893" t="s">
        <v>2834</v>
      </c>
      <c r="X893" t="s">
        <v>2834</v>
      </c>
      <c r="Y893" t="s">
        <v>2834</v>
      </c>
      <c r="Z893">
        <v>1</v>
      </c>
      <c r="AA893" t="s">
        <v>2789</v>
      </c>
      <c r="AB893">
        <v>0.1</v>
      </c>
      <c r="AC893" t="s">
        <v>2794</v>
      </c>
      <c r="AD893">
        <v>10835.865</v>
      </c>
      <c r="AE893">
        <v>4415.9449999999997</v>
      </c>
      <c r="AF893">
        <v>0.40753045557507406</v>
      </c>
      <c r="AG893" t="s">
        <v>2829</v>
      </c>
      <c r="AH893">
        <v>2024</v>
      </c>
      <c r="AI893" t="s">
        <v>2835</v>
      </c>
    </row>
    <row r="894" spans="1:35">
      <c r="A894" t="s">
        <v>2739</v>
      </c>
      <c r="B894">
        <v>45759</v>
      </c>
      <c r="C894">
        <v>45765</v>
      </c>
      <c r="D894" t="s">
        <v>2740</v>
      </c>
      <c r="E894" t="s">
        <v>47</v>
      </c>
      <c r="F894" t="s">
        <v>37</v>
      </c>
      <c r="G894" t="s">
        <v>38</v>
      </c>
      <c r="H894" t="s">
        <v>228</v>
      </c>
      <c r="I894" t="s">
        <v>229</v>
      </c>
      <c r="J894" t="s">
        <v>74</v>
      </c>
      <c r="K894" t="s">
        <v>80</v>
      </c>
      <c r="L894" t="s">
        <v>2741</v>
      </c>
      <c r="M894" t="s">
        <v>44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32</v>
      </c>
      <c r="U894" t="s">
        <v>33</v>
      </c>
      <c r="V894" t="s">
        <v>2834</v>
      </c>
      <c r="W894" t="s">
        <v>2834</v>
      </c>
      <c r="X894" t="s">
        <v>2834</v>
      </c>
      <c r="Y894" t="s">
        <v>2834</v>
      </c>
      <c r="Z894">
        <v>6</v>
      </c>
      <c r="AA894" t="s">
        <v>2789</v>
      </c>
      <c r="AB894">
        <v>0.2</v>
      </c>
      <c r="AC894" t="s">
        <v>2794</v>
      </c>
      <c r="AD894">
        <v>581.51200000000006</v>
      </c>
      <c r="AE894">
        <v>157.65200000000004</v>
      </c>
      <c r="AF894">
        <v>0.27110704508247468</v>
      </c>
      <c r="AG894" t="s">
        <v>2823</v>
      </c>
      <c r="AH894">
        <v>2025</v>
      </c>
      <c r="AI894" t="s">
        <v>2835</v>
      </c>
    </row>
    <row r="895" spans="1:35">
      <c r="A895" t="s">
        <v>2742</v>
      </c>
      <c r="B895">
        <v>45449</v>
      </c>
      <c r="C895">
        <v>45451</v>
      </c>
      <c r="D895" t="s">
        <v>2743</v>
      </c>
      <c r="E895" t="s">
        <v>128</v>
      </c>
      <c r="F895" t="s">
        <v>90</v>
      </c>
      <c r="G895" t="s">
        <v>54</v>
      </c>
      <c r="H895" t="s">
        <v>175</v>
      </c>
      <c r="I895" t="s">
        <v>176</v>
      </c>
      <c r="J895" t="s">
        <v>41</v>
      </c>
      <c r="K895" t="s">
        <v>42</v>
      </c>
      <c r="L895" t="s">
        <v>2744</v>
      </c>
      <c r="M895" t="s">
        <v>31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32</v>
      </c>
      <c r="U895" t="s">
        <v>103</v>
      </c>
      <c r="V895" t="s">
        <v>2834</v>
      </c>
      <c r="W895" t="s">
        <v>2834</v>
      </c>
      <c r="X895" t="s">
        <v>2834</v>
      </c>
      <c r="Y895" t="s">
        <v>2834</v>
      </c>
      <c r="Z895">
        <v>2</v>
      </c>
      <c r="AA895" t="s">
        <v>2789</v>
      </c>
      <c r="AB895">
        <v>0.05</v>
      </c>
      <c r="AC895" t="s">
        <v>2794</v>
      </c>
      <c r="AD895">
        <v>1127.1465000000001</v>
      </c>
      <c r="AE895">
        <v>281.52650000000006</v>
      </c>
      <c r="AF895">
        <v>0.24976921810962466</v>
      </c>
      <c r="AG895" t="s">
        <v>2825</v>
      </c>
      <c r="AH895">
        <v>2024</v>
      </c>
      <c r="AI895" t="s">
        <v>2835</v>
      </c>
    </row>
    <row r="896" spans="1:35">
      <c r="A896" t="s">
        <v>2745</v>
      </c>
      <c r="B896">
        <v>45344</v>
      </c>
      <c r="C896">
        <v>45351</v>
      </c>
      <c r="D896" t="s">
        <v>2746</v>
      </c>
      <c r="E896" t="s">
        <v>47</v>
      </c>
      <c r="F896" t="s">
        <v>95</v>
      </c>
      <c r="G896" t="s">
        <v>54</v>
      </c>
      <c r="H896" t="s">
        <v>55</v>
      </c>
      <c r="I896" t="s">
        <v>56</v>
      </c>
      <c r="J896" t="s">
        <v>41</v>
      </c>
      <c r="K896" t="s">
        <v>42</v>
      </c>
      <c r="L896" t="s">
        <v>2747</v>
      </c>
      <c r="M896" t="s">
        <v>50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32</v>
      </c>
      <c r="U896" t="s">
        <v>33</v>
      </c>
      <c r="V896" t="s">
        <v>2834</v>
      </c>
      <c r="W896" t="s">
        <v>2834</v>
      </c>
      <c r="X896" t="s">
        <v>2834</v>
      </c>
      <c r="Y896" t="s">
        <v>2834</v>
      </c>
      <c r="Z896">
        <v>7</v>
      </c>
      <c r="AA896" t="s">
        <v>2789</v>
      </c>
      <c r="AB896">
        <v>0</v>
      </c>
      <c r="AC896" t="s">
        <v>2794</v>
      </c>
      <c r="AD896">
        <v>25524.300000000003</v>
      </c>
      <c r="AE896">
        <v>8812.3700000000026</v>
      </c>
      <c r="AF896">
        <v>0.34525413037771857</v>
      </c>
      <c r="AG896" t="s">
        <v>2821</v>
      </c>
      <c r="AH896">
        <v>2024</v>
      </c>
      <c r="AI896" t="s">
        <v>2835</v>
      </c>
    </row>
    <row r="897" spans="1:35">
      <c r="A897" t="s">
        <v>2748</v>
      </c>
      <c r="B897">
        <v>45601</v>
      </c>
      <c r="C897">
        <v>45606</v>
      </c>
      <c r="D897" t="s">
        <v>2749</v>
      </c>
      <c r="E897" t="s">
        <v>53</v>
      </c>
      <c r="F897" t="s">
        <v>24</v>
      </c>
      <c r="G897" t="s">
        <v>54</v>
      </c>
      <c r="H897" t="s">
        <v>185</v>
      </c>
      <c r="I897" t="s">
        <v>186</v>
      </c>
      <c r="J897" t="s">
        <v>41</v>
      </c>
      <c r="K897" t="s">
        <v>66</v>
      </c>
      <c r="L897" t="s">
        <v>2750</v>
      </c>
      <c r="M897" t="s">
        <v>44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111</v>
      </c>
      <c r="U897" t="s">
        <v>103</v>
      </c>
      <c r="V897" t="s">
        <v>2834</v>
      </c>
      <c r="W897" t="s">
        <v>2834</v>
      </c>
      <c r="X897" t="s">
        <v>2834</v>
      </c>
      <c r="Y897" t="s">
        <v>2834</v>
      </c>
      <c r="Z897">
        <v>5</v>
      </c>
      <c r="AA897" t="s">
        <v>2789</v>
      </c>
      <c r="AB897">
        <v>0.15</v>
      </c>
      <c r="AC897" t="s">
        <v>2794</v>
      </c>
      <c r="AD897">
        <v>2418.0119999999997</v>
      </c>
      <c r="AE897">
        <v>976.12199999999962</v>
      </c>
      <c r="AF897">
        <v>0.40368782288921634</v>
      </c>
      <c r="AG897" t="s">
        <v>2830</v>
      </c>
      <c r="AH897">
        <v>2024</v>
      </c>
      <c r="AI897" t="s">
        <v>2835</v>
      </c>
    </row>
    <row r="898" spans="1:35">
      <c r="A898" t="s">
        <v>2751</v>
      </c>
      <c r="B898">
        <v>45650</v>
      </c>
      <c r="C898">
        <v>45651</v>
      </c>
      <c r="D898" t="s">
        <v>2752</v>
      </c>
      <c r="E898" t="s">
        <v>62</v>
      </c>
      <c r="F898" t="s">
        <v>37</v>
      </c>
      <c r="G898" t="s">
        <v>54</v>
      </c>
      <c r="H898" t="s">
        <v>247</v>
      </c>
      <c r="I898" t="s">
        <v>248</v>
      </c>
      <c r="J898" t="s">
        <v>74</v>
      </c>
      <c r="K898" t="s">
        <v>80</v>
      </c>
      <c r="L898" t="s">
        <v>2753</v>
      </c>
      <c r="M898" t="s">
        <v>31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155</v>
      </c>
      <c r="U898" t="s">
        <v>103</v>
      </c>
      <c r="V898" t="s">
        <v>2834</v>
      </c>
      <c r="W898" t="s">
        <v>2834</v>
      </c>
      <c r="X898" t="s">
        <v>2834</v>
      </c>
      <c r="Y898" t="s">
        <v>2834</v>
      </c>
      <c r="Z898">
        <v>1</v>
      </c>
      <c r="AA898" t="s">
        <v>2789</v>
      </c>
      <c r="AB898">
        <v>0.05</v>
      </c>
      <c r="AC898" t="s">
        <v>2794</v>
      </c>
      <c r="AD898">
        <v>3508.3784999999998</v>
      </c>
      <c r="AE898">
        <v>680.31849999999986</v>
      </c>
      <c r="AF898">
        <v>0.19391251542557336</v>
      </c>
      <c r="AG898" t="s">
        <v>2831</v>
      </c>
      <c r="AH898">
        <v>2024</v>
      </c>
      <c r="AI898" t="s">
        <v>2835</v>
      </c>
    </row>
    <row r="899" spans="1:35">
      <c r="A899" t="s">
        <v>2754</v>
      </c>
      <c r="B899">
        <v>45776</v>
      </c>
      <c r="C899">
        <v>45780</v>
      </c>
      <c r="D899" t="s">
        <v>2121</v>
      </c>
      <c r="E899" t="s">
        <v>141</v>
      </c>
      <c r="F899" t="s">
        <v>90</v>
      </c>
      <c r="G899" t="s">
        <v>25</v>
      </c>
      <c r="H899" t="s">
        <v>236</v>
      </c>
      <c r="I899" t="s">
        <v>237</v>
      </c>
      <c r="J899" t="s">
        <v>28</v>
      </c>
      <c r="K899" t="s">
        <v>29</v>
      </c>
      <c r="L899" t="s">
        <v>2755</v>
      </c>
      <c r="M899" t="s">
        <v>50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32</v>
      </c>
      <c r="U899" t="s">
        <v>33</v>
      </c>
      <c r="V899" t="s">
        <v>2834</v>
      </c>
      <c r="W899" t="s">
        <v>2834</v>
      </c>
      <c r="X899" t="s">
        <v>2834</v>
      </c>
      <c r="Y899" t="s">
        <v>2834</v>
      </c>
      <c r="Z899">
        <v>4</v>
      </c>
      <c r="AA899" t="s">
        <v>2789</v>
      </c>
      <c r="AB899">
        <v>0.05</v>
      </c>
      <c r="AC899" t="s">
        <v>2794</v>
      </c>
      <c r="AD899">
        <v>6789.27</v>
      </c>
      <c r="AE899">
        <v>1162.8400000000001</v>
      </c>
      <c r="AF899">
        <v>0.17127614603631908</v>
      </c>
      <c r="AG899" t="s">
        <v>2823</v>
      </c>
      <c r="AH899">
        <v>2025</v>
      </c>
      <c r="AI899" t="s">
        <v>2835</v>
      </c>
    </row>
    <row r="900" spans="1:35">
      <c r="A900" t="s">
        <v>2756</v>
      </c>
      <c r="B900">
        <v>45445</v>
      </c>
      <c r="C900">
        <v>45451</v>
      </c>
      <c r="D900" t="s">
        <v>2757</v>
      </c>
      <c r="E900" t="s">
        <v>71</v>
      </c>
      <c r="F900" t="s">
        <v>24</v>
      </c>
      <c r="G900" t="s">
        <v>25</v>
      </c>
      <c r="H900" t="s">
        <v>350</v>
      </c>
      <c r="I900" t="s">
        <v>351</v>
      </c>
      <c r="J900" t="s">
        <v>41</v>
      </c>
      <c r="K900" t="s">
        <v>42</v>
      </c>
      <c r="L900" t="s">
        <v>2758</v>
      </c>
      <c r="M900" t="s">
        <v>50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32</v>
      </c>
      <c r="U900" t="s">
        <v>33</v>
      </c>
      <c r="V900" t="s">
        <v>2834</v>
      </c>
      <c r="W900" t="s">
        <v>2834</v>
      </c>
      <c r="X900" t="s">
        <v>2834</v>
      </c>
      <c r="Y900" t="s">
        <v>2834</v>
      </c>
      <c r="Z900">
        <v>6</v>
      </c>
      <c r="AA900" t="s">
        <v>2789</v>
      </c>
      <c r="AB900">
        <v>0.2</v>
      </c>
      <c r="AC900" t="s">
        <v>2794</v>
      </c>
      <c r="AD900">
        <v>4917.4400000000005</v>
      </c>
      <c r="AE900">
        <v>1070.6700000000005</v>
      </c>
      <c r="AF900">
        <v>0.21772914361944434</v>
      </c>
      <c r="AG900" t="s">
        <v>2825</v>
      </c>
      <c r="AH900">
        <v>2024</v>
      </c>
      <c r="AI900" t="s">
        <v>2835</v>
      </c>
    </row>
    <row r="901" spans="1:35">
      <c r="A901" t="s">
        <v>2759</v>
      </c>
      <c r="B901">
        <v>45804</v>
      </c>
      <c r="C901">
        <v>45811</v>
      </c>
      <c r="D901" t="s">
        <v>2760</v>
      </c>
      <c r="E901" t="s">
        <v>23</v>
      </c>
      <c r="F901" t="s">
        <v>24</v>
      </c>
      <c r="G901" t="s">
        <v>25</v>
      </c>
      <c r="H901" t="s">
        <v>122</v>
      </c>
      <c r="I901" t="s">
        <v>123</v>
      </c>
      <c r="J901" t="s">
        <v>41</v>
      </c>
      <c r="K901" t="s">
        <v>66</v>
      </c>
      <c r="L901" t="s">
        <v>2761</v>
      </c>
      <c r="M901" t="s">
        <v>50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155</v>
      </c>
      <c r="U901" t="s">
        <v>68</v>
      </c>
      <c r="V901" t="s">
        <v>2834</v>
      </c>
      <c r="W901" t="s">
        <v>2834</v>
      </c>
      <c r="X901" t="s">
        <v>2834</v>
      </c>
      <c r="Y901" t="s">
        <v>2834</v>
      </c>
      <c r="Z901">
        <v>7</v>
      </c>
      <c r="AA901" t="s">
        <v>2789</v>
      </c>
      <c r="AB901">
        <v>0.25</v>
      </c>
      <c r="AC901" t="s">
        <v>2794</v>
      </c>
      <c r="AD901">
        <v>3304.05</v>
      </c>
      <c r="AE901">
        <v>1024.6400000000003</v>
      </c>
      <c r="AF901">
        <v>0.31011637233092726</v>
      </c>
      <c r="AG901" t="s">
        <v>2824</v>
      </c>
      <c r="AH901">
        <v>2025</v>
      </c>
      <c r="AI901" t="s">
        <v>2835</v>
      </c>
    </row>
    <row r="902" spans="1:35">
      <c r="A902" t="s">
        <v>1098</v>
      </c>
      <c r="B902">
        <v>45630</v>
      </c>
      <c r="C902">
        <v>45632</v>
      </c>
      <c r="D902" t="s">
        <v>1099</v>
      </c>
      <c r="E902" t="s">
        <v>132</v>
      </c>
      <c r="F902" t="s">
        <v>95</v>
      </c>
      <c r="G902" t="s">
        <v>38</v>
      </c>
      <c r="H902" t="s">
        <v>39</v>
      </c>
      <c r="I902" t="s">
        <v>40</v>
      </c>
      <c r="J902" t="s">
        <v>28</v>
      </c>
      <c r="K902" t="s">
        <v>153</v>
      </c>
      <c r="L902" t="s">
        <v>1100</v>
      </c>
      <c r="M902" t="s">
        <v>31</v>
      </c>
      <c r="N902">
        <v>4</v>
      </c>
      <c r="O902">
        <v>2685.66</v>
      </c>
      <c r="P902">
        <v>0</v>
      </c>
      <c r="Q902">
        <v>10989.89</v>
      </c>
      <c r="R902">
        <v>6477.37</v>
      </c>
      <c r="S902">
        <v>4265.2700000000004</v>
      </c>
      <c r="T902" t="s">
        <v>32</v>
      </c>
      <c r="U902" t="s">
        <v>33</v>
      </c>
      <c r="V902" t="s">
        <v>2834</v>
      </c>
      <c r="W902" t="s">
        <v>2834</v>
      </c>
      <c r="X902" t="s">
        <v>2834</v>
      </c>
      <c r="Y902" t="s">
        <v>2834</v>
      </c>
      <c r="Z902">
        <v>2</v>
      </c>
      <c r="AA902" t="s">
        <v>2790</v>
      </c>
      <c r="AB902">
        <v>0</v>
      </c>
      <c r="AC902" t="s">
        <v>2794</v>
      </c>
      <c r="AD902">
        <v>10742.64</v>
      </c>
      <c r="AE902">
        <v>4265.2699999999995</v>
      </c>
      <c r="AF902">
        <v>0.39704113700170535</v>
      </c>
      <c r="AG902" t="s">
        <v>2831</v>
      </c>
      <c r="AH902">
        <v>2024</v>
      </c>
      <c r="AI902" t="s">
        <v>2836</v>
      </c>
    </row>
    <row r="903" spans="1:35">
      <c r="A903" t="s">
        <v>380</v>
      </c>
      <c r="B903">
        <v>45893</v>
      </c>
      <c r="C903">
        <v>45898</v>
      </c>
      <c r="D903" t="s">
        <v>381</v>
      </c>
      <c r="E903" t="s">
        <v>128</v>
      </c>
      <c r="F903" t="s">
        <v>37</v>
      </c>
      <c r="G903" t="s">
        <v>38</v>
      </c>
      <c r="H903" t="s">
        <v>145</v>
      </c>
      <c r="I903" t="s">
        <v>146</v>
      </c>
      <c r="J903" t="s">
        <v>74</v>
      </c>
      <c r="K903" t="s">
        <v>80</v>
      </c>
      <c r="L903" t="s">
        <v>382</v>
      </c>
      <c r="M903" t="s">
        <v>50</v>
      </c>
      <c r="N903">
        <v>3</v>
      </c>
      <c r="O903">
        <v>3703.96</v>
      </c>
      <c r="P903">
        <v>0.15</v>
      </c>
      <c r="Q903">
        <v>9549.44</v>
      </c>
      <c r="R903">
        <v>5586.28</v>
      </c>
      <c r="S903">
        <v>3858.82</v>
      </c>
      <c r="T903" t="s">
        <v>32</v>
      </c>
      <c r="U903" t="s">
        <v>103</v>
      </c>
      <c r="V903" t="s">
        <v>2834</v>
      </c>
      <c r="W903" t="s">
        <v>2834</v>
      </c>
      <c r="X903" t="s">
        <v>2834</v>
      </c>
      <c r="Y903" t="s">
        <v>2834</v>
      </c>
      <c r="Z903">
        <v>5</v>
      </c>
      <c r="AA903" t="s">
        <v>2790</v>
      </c>
      <c r="AB903">
        <v>0.15</v>
      </c>
      <c r="AC903" t="s">
        <v>2794</v>
      </c>
      <c r="AD903">
        <v>9445.098</v>
      </c>
      <c r="AE903">
        <v>3858.8180000000002</v>
      </c>
      <c r="AF903">
        <v>0.40855245758170006</v>
      </c>
      <c r="AG903" t="s">
        <v>2827</v>
      </c>
      <c r="AH903">
        <v>2025</v>
      </c>
      <c r="AI903" t="s">
        <v>2836</v>
      </c>
    </row>
    <row r="904" spans="1:35">
      <c r="A904" t="s">
        <v>1222</v>
      </c>
      <c r="B904">
        <v>45760</v>
      </c>
      <c r="C904">
        <v>45760</v>
      </c>
      <c r="D904" t="s">
        <v>1223</v>
      </c>
      <c r="E904" t="s">
        <v>132</v>
      </c>
      <c r="F904" t="s">
        <v>37</v>
      </c>
      <c r="G904" t="s">
        <v>25</v>
      </c>
      <c r="H904" t="s">
        <v>136</v>
      </c>
      <c r="I904" t="s">
        <v>137</v>
      </c>
      <c r="J904" t="s">
        <v>28</v>
      </c>
      <c r="K904" t="s">
        <v>124</v>
      </c>
      <c r="L904" t="s">
        <v>1224</v>
      </c>
      <c r="M904" t="s">
        <v>31</v>
      </c>
      <c r="N904">
        <v>9</v>
      </c>
      <c r="O904">
        <v>1118.68</v>
      </c>
      <c r="P904">
        <v>0</v>
      </c>
      <c r="Q904">
        <v>10348.43</v>
      </c>
      <c r="R904">
        <v>8595.3700000000008</v>
      </c>
      <c r="S904">
        <v>1472.75</v>
      </c>
      <c r="T904" t="s">
        <v>32</v>
      </c>
      <c r="U904" t="s">
        <v>103</v>
      </c>
      <c r="V904" t="s">
        <v>2834</v>
      </c>
      <c r="W904" t="s">
        <v>2834</v>
      </c>
      <c r="X904" t="s">
        <v>2834</v>
      </c>
      <c r="Y904" t="s">
        <v>2834</v>
      </c>
      <c r="Z904">
        <v>0</v>
      </c>
      <c r="AA904" t="s">
        <v>2790</v>
      </c>
      <c r="AB904">
        <v>0</v>
      </c>
      <c r="AC904" t="s">
        <v>2794</v>
      </c>
      <c r="AD904">
        <v>10068.120000000001</v>
      </c>
      <c r="AE904">
        <v>1472.75</v>
      </c>
      <c r="AF904">
        <v>0.14627855051389932</v>
      </c>
      <c r="AG904" t="s">
        <v>2823</v>
      </c>
      <c r="AH904">
        <v>2025</v>
      </c>
      <c r="AI904" t="s">
        <v>2836</v>
      </c>
    </row>
    <row r="905" spans="1:35">
      <c r="A905" t="s">
        <v>780</v>
      </c>
      <c r="B905">
        <v>45932</v>
      </c>
      <c r="C905">
        <v>45938</v>
      </c>
      <c r="D905" t="s">
        <v>781</v>
      </c>
      <c r="E905" t="s">
        <v>47</v>
      </c>
      <c r="F905" t="s">
        <v>37</v>
      </c>
      <c r="G905" t="s">
        <v>25</v>
      </c>
      <c r="H905" t="s">
        <v>122</v>
      </c>
      <c r="I905" t="s">
        <v>123</v>
      </c>
      <c r="J905" t="s">
        <v>41</v>
      </c>
      <c r="K905" t="s">
        <v>57</v>
      </c>
      <c r="L905" t="s">
        <v>782</v>
      </c>
      <c r="M905" t="s">
        <v>59</v>
      </c>
      <c r="N905">
        <v>4</v>
      </c>
      <c r="O905">
        <v>3944.64</v>
      </c>
      <c r="P905">
        <v>0.25</v>
      </c>
      <c r="Q905">
        <v>12116.89</v>
      </c>
      <c r="R905">
        <v>6682.92</v>
      </c>
      <c r="S905">
        <v>5151</v>
      </c>
      <c r="T905" t="s">
        <v>32</v>
      </c>
      <c r="U905" t="s">
        <v>103</v>
      </c>
      <c r="V905" t="s">
        <v>2834</v>
      </c>
      <c r="W905" t="s">
        <v>2834</v>
      </c>
      <c r="X905" t="s">
        <v>2834</v>
      </c>
      <c r="Y905" t="s">
        <v>2834</v>
      </c>
      <c r="Z905">
        <v>6</v>
      </c>
      <c r="AA905" t="s">
        <v>2790</v>
      </c>
      <c r="AB905">
        <v>0.25</v>
      </c>
      <c r="AC905" t="s">
        <v>2794</v>
      </c>
      <c r="AD905">
        <v>11833.92</v>
      </c>
      <c r="AE905">
        <v>5151</v>
      </c>
      <c r="AF905">
        <v>0.43527419485681834</v>
      </c>
      <c r="AG905" t="s">
        <v>2829</v>
      </c>
      <c r="AH905">
        <v>2025</v>
      </c>
      <c r="AI905" t="s">
        <v>2836</v>
      </c>
    </row>
    <row r="906" spans="1:35">
      <c r="A906" t="s">
        <v>1048</v>
      </c>
      <c r="B906">
        <v>45795</v>
      </c>
      <c r="C906">
        <v>45797</v>
      </c>
      <c r="D906" t="s">
        <v>1049</v>
      </c>
      <c r="E906" t="s">
        <v>47</v>
      </c>
      <c r="F906" t="s">
        <v>90</v>
      </c>
      <c r="G906" t="s">
        <v>63</v>
      </c>
      <c r="H906" t="s">
        <v>72</v>
      </c>
      <c r="I906" t="s">
        <v>73</v>
      </c>
      <c r="J906" t="s">
        <v>28</v>
      </c>
      <c r="K906" t="s">
        <v>91</v>
      </c>
      <c r="L906" t="s">
        <v>1050</v>
      </c>
      <c r="M906" t="s">
        <v>59</v>
      </c>
      <c r="N906">
        <v>9</v>
      </c>
      <c r="O906">
        <v>847.76</v>
      </c>
      <c r="P906">
        <v>0.15</v>
      </c>
      <c r="Q906">
        <v>6589.37</v>
      </c>
      <c r="R906">
        <v>5376.17</v>
      </c>
      <c r="S906">
        <v>1109.19</v>
      </c>
      <c r="T906" t="s">
        <v>155</v>
      </c>
      <c r="U906" t="s">
        <v>33</v>
      </c>
      <c r="V906" t="s">
        <v>2834</v>
      </c>
      <c r="W906" t="s">
        <v>2834</v>
      </c>
      <c r="X906" t="s">
        <v>2834</v>
      </c>
      <c r="Y906" t="s">
        <v>2834</v>
      </c>
      <c r="Z906">
        <v>2</v>
      </c>
      <c r="AA906" t="s">
        <v>2790</v>
      </c>
      <c r="AB906">
        <v>0.15</v>
      </c>
      <c r="AC906" t="s">
        <v>2794</v>
      </c>
      <c r="AD906">
        <v>6485.3639999999996</v>
      </c>
      <c r="AE906">
        <v>1109.1939999999995</v>
      </c>
      <c r="AF906">
        <v>0.17103033846673826</v>
      </c>
      <c r="AG906" t="s">
        <v>2824</v>
      </c>
      <c r="AH906">
        <v>2025</v>
      </c>
      <c r="AI906" t="s">
        <v>2836</v>
      </c>
    </row>
    <row r="907" spans="1:35">
      <c r="A907" t="s">
        <v>619</v>
      </c>
      <c r="B907">
        <v>45907</v>
      </c>
      <c r="C907">
        <v>45915</v>
      </c>
      <c r="D907" t="s">
        <v>620</v>
      </c>
      <c r="E907" t="s">
        <v>141</v>
      </c>
      <c r="F907" t="s">
        <v>90</v>
      </c>
      <c r="G907" t="s">
        <v>38</v>
      </c>
      <c r="H907" t="s">
        <v>145</v>
      </c>
      <c r="I907" t="s">
        <v>146</v>
      </c>
      <c r="J907" t="s">
        <v>74</v>
      </c>
      <c r="K907" t="s">
        <v>80</v>
      </c>
      <c r="L907" t="s">
        <v>621</v>
      </c>
      <c r="M907" t="s">
        <v>59</v>
      </c>
      <c r="N907">
        <v>3</v>
      </c>
      <c r="O907">
        <v>1711.32</v>
      </c>
      <c r="P907">
        <v>0</v>
      </c>
      <c r="Q907">
        <v>5206.53</v>
      </c>
      <c r="R907">
        <v>3930</v>
      </c>
      <c r="S907">
        <v>1203.96</v>
      </c>
      <c r="T907" t="s">
        <v>32</v>
      </c>
      <c r="U907" t="s">
        <v>103</v>
      </c>
      <c r="V907" t="s">
        <v>2834</v>
      </c>
      <c r="W907" t="s">
        <v>2834</v>
      </c>
      <c r="X907" t="s">
        <v>2834</v>
      </c>
      <c r="Y907" t="s">
        <v>2834</v>
      </c>
      <c r="Z907">
        <v>8</v>
      </c>
      <c r="AA907" t="s">
        <v>2790</v>
      </c>
      <c r="AB907">
        <v>0</v>
      </c>
      <c r="AC907" t="s">
        <v>2794</v>
      </c>
      <c r="AD907">
        <v>5133.96</v>
      </c>
      <c r="AE907">
        <v>1203.96</v>
      </c>
      <c r="AF907">
        <v>0.23450903396208775</v>
      </c>
      <c r="AG907" t="s">
        <v>2828</v>
      </c>
      <c r="AH907">
        <v>2025</v>
      </c>
      <c r="AI907" t="s">
        <v>2836</v>
      </c>
    </row>
    <row r="908" spans="1:35">
      <c r="A908" t="s">
        <v>1371</v>
      </c>
      <c r="B908">
        <v>45342</v>
      </c>
      <c r="C908">
        <v>45349</v>
      </c>
      <c r="D908" t="s">
        <v>1372</v>
      </c>
      <c r="E908" t="s">
        <v>162</v>
      </c>
      <c r="F908" t="s">
        <v>24</v>
      </c>
      <c r="G908" t="s">
        <v>54</v>
      </c>
      <c r="H908" t="s">
        <v>185</v>
      </c>
      <c r="I908" t="s">
        <v>186</v>
      </c>
      <c r="J908" t="s">
        <v>74</v>
      </c>
      <c r="K908" t="s">
        <v>75</v>
      </c>
      <c r="L908" t="s">
        <v>1373</v>
      </c>
      <c r="M908" t="s">
        <v>50</v>
      </c>
      <c r="N908">
        <v>9</v>
      </c>
      <c r="O908">
        <v>3779.31</v>
      </c>
      <c r="P908">
        <v>0.2</v>
      </c>
      <c r="Q908">
        <v>27322.9</v>
      </c>
      <c r="R908">
        <v>17940.43</v>
      </c>
      <c r="S908">
        <v>9270.6</v>
      </c>
      <c r="T908" t="s">
        <v>32</v>
      </c>
      <c r="U908" t="s">
        <v>103</v>
      </c>
      <c r="V908" t="s">
        <v>2834</v>
      </c>
      <c r="W908" t="s">
        <v>2834</v>
      </c>
      <c r="X908" t="s">
        <v>2834</v>
      </c>
      <c r="Y908" t="s">
        <v>2834</v>
      </c>
      <c r="Z908">
        <v>7</v>
      </c>
      <c r="AA908" t="s">
        <v>2790</v>
      </c>
      <c r="AB908">
        <v>0.2</v>
      </c>
      <c r="AC908" t="s">
        <v>2794</v>
      </c>
      <c r="AD908">
        <v>27211.032000000003</v>
      </c>
      <c r="AE908">
        <v>9270.6020000000026</v>
      </c>
      <c r="AF908">
        <v>0.34069277490100347</v>
      </c>
      <c r="AG908" t="s">
        <v>2821</v>
      </c>
      <c r="AH908">
        <v>2024</v>
      </c>
      <c r="AI908" t="s">
        <v>2836</v>
      </c>
    </row>
    <row r="909" spans="1:35">
      <c r="A909" t="s">
        <v>1809</v>
      </c>
      <c r="B909">
        <v>45698</v>
      </c>
      <c r="C909">
        <v>45702</v>
      </c>
      <c r="D909" t="s">
        <v>1810</v>
      </c>
      <c r="E909" t="s">
        <v>114</v>
      </c>
      <c r="F909" t="s">
        <v>37</v>
      </c>
      <c r="G909" t="s">
        <v>25</v>
      </c>
      <c r="H909" t="s">
        <v>136</v>
      </c>
      <c r="I909" t="s">
        <v>137</v>
      </c>
      <c r="J909" t="s">
        <v>74</v>
      </c>
      <c r="K909" t="s">
        <v>171</v>
      </c>
      <c r="L909" t="s">
        <v>1811</v>
      </c>
      <c r="M909" t="s">
        <v>2791</v>
      </c>
      <c r="N909">
        <v>5</v>
      </c>
      <c r="O909">
        <v>4276.29</v>
      </c>
      <c r="P909">
        <v>0</v>
      </c>
      <c r="Q909">
        <v>21443.63</v>
      </c>
      <c r="R909">
        <v>13240.21</v>
      </c>
      <c r="S909">
        <v>8141.24</v>
      </c>
      <c r="T909" t="s">
        <v>155</v>
      </c>
      <c r="U909" t="s">
        <v>33</v>
      </c>
      <c r="V909" t="s">
        <v>2834</v>
      </c>
      <c r="W909" t="s">
        <v>2834</v>
      </c>
      <c r="X909" t="s">
        <v>2834</v>
      </c>
      <c r="Y909" t="s">
        <v>2834</v>
      </c>
      <c r="Z909">
        <v>4</v>
      </c>
      <c r="AA909" t="s">
        <v>2790</v>
      </c>
      <c r="AB909">
        <v>0</v>
      </c>
      <c r="AC909" t="s">
        <v>2794</v>
      </c>
      <c r="AD909">
        <v>21381.45</v>
      </c>
      <c r="AE909">
        <v>8141.2400000000016</v>
      </c>
      <c r="AF909">
        <v>0.38076182859441249</v>
      </c>
      <c r="AG909" t="s">
        <v>2821</v>
      </c>
      <c r="AH909">
        <v>2025</v>
      </c>
      <c r="AI909" t="s">
        <v>2836</v>
      </c>
    </row>
    <row r="910" spans="1:35">
      <c r="A910" t="s">
        <v>536</v>
      </c>
      <c r="B910">
        <v>45381</v>
      </c>
      <c r="C910">
        <v>45377</v>
      </c>
      <c r="D910" t="s">
        <v>537</v>
      </c>
      <c r="E910" t="s">
        <v>89</v>
      </c>
      <c r="F910" t="s">
        <v>95</v>
      </c>
      <c r="G910" t="s">
        <v>25</v>
      </c>
      <c r="H910" t="s">
        <v>26</v>
      </c>
      <c r="I910" t="s">
        <v>27</v>
      </c>
      <c r="J910" t="s">
        <v>74</v>
      </c>
      <c r="K910" t="s">
        <v>171</v>
      </c>
      <c r="L910" t="s">
        <v>538</v>
      </c>
      <c r="M910" t="s">
        <v>31</v>
      </c>
      <c r="N910">
        <v>5</v>
      </c>
      <c r="O910">
        <v>907.54</v>
      </c>
      <c r="P910">
        <v>0.15</v>
      </c>
      <c r="Q910">
        <v>4099.6899999999996</v>
      </c>
      <c r="R910">
        <v>2769.26</v>
      </c>
      <c r="S910">
        <v>1087.78</v>
      </c>
      <c r="T910" t="s">
        <v>32</v>
      </c>
      <c r="U910" t="s">
        <v>103</v>
      </c>
      <c r="V910" t="s">
        <v>2834</v>
      </c>
      <c r="W910" t="s">
        <v>2834</v>
      </c>
      <c r="X910" t="s">
        <v>2834</v>
      </c>
      <c r="Y910" t="s">
        <v>2837</v>
      </c>
      <c r="Z910">
        <v>-4</v>
      </c>
      <c r="AA910" t="s">
        <v>2790</v>
      </c>
      <c r="AB910">
        <v>0.15</v>
      </c>
      <c r="AC910" t="s">
        <v>2794</v>
      </c>
      <c r="AD910">
        <v>3857.0449999999996</v>
      </c>
      <c r="AE910">
        <v>1087.7849999999994</v>
      </c>
      <c r="AF910">
        <v>0.28202548842442843</v>
      </c>
      <c r="AG910" t="s">
        <v>2822</v>
      </c>
      <c r="AH910">
        <v>2024</v>
      </c>
      <c r="AI910" t="s">
        <v>2836</v>
      </c>
    </row>
    <row r="911" spans="1:35">
      <c r="A911" t="s">
        <v>923</v>
      </c>
      <c r="B911">
        <v>45522</v>
      </c>
      <c r="C911">
        <v>45528</v>
      </c>
      <c r="D911" t="s">
        <v>924</v>
      </c>
      <c r="E911" t="s">
        <v>53</v>
      </c>
      <c r="F911" t="s">
        <v>24</v>
      </c>
      <c r="G911" t="s">
        <v>54</v>
      </c>
      <c r="H911" t="s">
        <v>84</v>
      </c>
      <c r="I911" t="s">
        <v>85</v>
      </c>
      <c r="J911" t="s">
        <v>41</v>
      </c>
      <c r="K911" t="s">
        <v>66</v>
      </c>
      <c r="L911" t="s">
        <v>925</v>
      </c>
      <c r="M911" t="s">
        <v>50</v>
      </c>
      <c r="N911">
        <v>7</v>
      </c>
      <c r="O911">
        <v>557.21</v>
      </c>
      <c r="P911">
        <v>0.1</v>
      </c>
      <c r="Q911">
        <v>3797.79</v>
      </c>
      <c r="R911">
        <v>2191.5</v>
      </c>
      <c r="S911">
        <v>1213.48</v>
      </c>
      <c r="T911" t="s">
        <v>32</v>
      </c>
      <c r="U911" t="s">
        <v>103</v>
      </c>
      <c r="V911" t="s">
        <v>2834</v>
      </c>
      <c r="W911" t="s">
        <v>2834</v>
      </c>
      <c r="X911" t="s">
        <v>2834</v>
      </c>
      <c r="Y911" t="s">
        <v>2834</v>
      </c>
      <c r="Z911">
        <v>6</v>
      </c>
      <c r="AA911" t="s">
        <v>2790</v>
      </c>
      <c r="AB911">
        <v>0.1</v>
      </c>
      <c r="AC911" t="s">
        <v>2794</v>
      </c>
      <c r="AD911">
        <v>3510.4230000000002</v>
      </c>
      <c r="AE911">
        <v>1318.9230000000002</v>
      </c>
      <c r="AF911">
        <v>0.37571625983535323</v>
      </c>
      <c r="AG911" t="s">
        <v>2827</v>
      </c>
      <c r="AH911">
        <v>2024</v>
      </c>
      <c r="AI911" t="s">
        <v>2836</v>
      </c>
    </row>
    <row r="912" spans="1:35">
      <c r="A912" t="s">
        <v>479</v>
      </c>
      <c r="B912">
        <v>45436</v>
      </c>
      <c r="C912">
        <v>45437</v>
      </c>
      <c r="D912" t="s">
        <v>480</v>
      </c>
      <c r="E912" t="s">
        <v>132</v>
      </c>
      <c r="F912" t="s">
        <v>37</v>
      </c>
      <c r="G912" t="s">
        <v>25</v>
      </c>
      <c r="H912" t="s">
        <v>122</v>
      </c>
      <c r="I912" t="s">
        <v>123</v>
      </c>
      <c r="J912" t="s">
        <v>74</v>
      </c>
      <c r="K912" t="s">
        <v>80</v>
      </c>
      <c r="L912" t="s">
        <v>481</v>
      </c>
      <c r="M912" t="s">
        <v>44</v>
      </c>
      <c r="N912">
        <v>1</v>
      </c>
      <c r="O912">
        <v>634.13</v>
      </c>
      <c r="P912">
        <v>0</v>
      </c>
      <c r="Q912">
        <v>808.67</v>
      </c>
      <c r="R912">
        <v>453.35</v>
      </c>
      <c r="S912">
        <v>180.78</v>
      </c>
      <c r="T912" t="s">
        <v>102</v>
      </c>
      <c r="U912" t="s">
        <v>103</v>
      </c>
      <c r="V912" t="s">
        <v>2834</v>
      </c>
      <c r="W912" t="s">
        <v>2834</v>
      </c>
      <c r="X912" t="s">
        <v>2834</v>
      </c>
      <c r="Y912" t="s">
        <v>2834</v>
      </c>
      <c r="Z912">
        <v>1</v>
      </c>
      <c r="AA912" t="s">
        <v>2790</v>
      </c>
      <c r="AB912">
        <v>0</v>
      </c>
      <c r="AC912" t="s">
        <v>2794</v>
      </c>
      <c r="AD912">
        <v>634.13</v>
      </c>
      <c r="AE912">
        <v>180.77999999999997</v>
      </c>
      <c r="AF912">
        <v>0.28508350022865969</v>
      </c>
      <c r="AG912" t="s">
        <v>2824</v>
      </c>
      <c r="AH912">
        <v>2024</v>
      </c>
      <c r="AI912" t="s">
        <v>2836</v>
      </c>
    </row>
    <row r="913" spans="1:35">
      <c r="A913" t="s">
        <v>1110</v>
      </c>
      <c r="B913">
        <v>45824</v>
      </c>
      <c r="C913">
        <v>45826</v>
      </c>
      <c r="D913" t="s">
        <v>1111</v>
      </c>
      <c r="E913" t="s">
        <v>118</v>
      </c>
      <c r="F913" t="s">
        <v>95</v>
      </c>
      <c r="G913" t="s">
        <v>63</v>
      </c>
      <c r="H913" t="s">
        <v>72</v>
      </c>
      <c r="I913" t="s">
        <v>73</v>
      </c>
      <c r="J913" t="s">
        <v>28</v>
      </c>
      <c r="K913" t="s">
        <v>29</v>
      </c>
      <c r="L913" t="s">
        <v>1112</v>
      </c>
      <c r="M913" t="s">
        <v>50</v>
      </c>
      <c r="N913">
        <v>3</v>
      </c>
      <c r="O913">
        <v>4289.37</v>
      </c>
      <c r="P913">
        <v>0.1</v>
      </c>
      <c r="Q913">
        <v>11778.71</v>
      </c>
      <c r="R913">
        <v>6829.43</v>
      </c>
      <c r="S913">
        <v>4751.87</v>
      </c>
      <c r="T913" t="s">
        <v>32</v>
      </c>
      <c r="U913" t="s">
        <v>103</v>
      </c>
      <c r="V913" t="s">
        <v>2834</v>
      </c>
      <c r="W913" t="s">
        <v>2834</v>
      </c>
      <c r="X913" t="s">
        <v>2834</v>
      </c>
      <c r="Y913" t="s">
        <v>2834</v>
      </c>
      <c r="Z913">
        <v>2</v>
      </c>
      <c r="AA913" t="s">
        <v>2790</v>
      </c>
      <c r="AB913">
        <v>0.1</v>
      </c>
      <c r="AC913" t="s">
        <v>2794</v>
      </c>
      <c r="AD913">
        <v>11581.299000000001</v>
      </c>
      <c r="AE913">
        <v>4751.8690000000006</v>
      </c>
      <c r="AF913">
        <v>0.41030535521101735</v>
      </c>
      <c r="AG913" t="s">
        <v>2825</v>
      </c>
      <c r="AH913">
        <v>2025</v>
      </c>
      <c r="AI913" t="s">
        <v>2836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ECA90-BCC6-41EF-9D26-3F1EA4D095A8}">
  <dimension ref="A3:D9"/>
  <sheetViews>
    <sheetView workbookViewId="0">
      <selection activeCell="L26" sqref="L26"/>
    </sheetView>
  </sheetViews>
  <sheetFormatPr defaultRowHeight="13.8"/>
  <cols>
    <col min="1" max="1" width="11" bestFit="1" customWidth="1"/>
    <col min="2" max="3" width="11.3984375" style="5" bestFit="1" customWidth="1"/>
    <col min="4" max="4" width="14.796875" style="6" bestFit="1" customWidth="1"/>
  </cols>
  <sheetData>
    <row r="3" spans="1:4">
      <c r="A3" s="3" t="s">
        <v>2808</v>
      </c>
      <c r="B3" s="5" t="s">
        <v>2806</v>
      </c>
      <c r="C3" s="5" t="s">
        <v>2807</v>
      </c>
      <c r="D3" s="6" t="s">
        <v>2809</v>
      </c>
    </row>
    <row r="4" spans="1:4">
      <c r="A4" s="4" t="s">
        <v>54</v>
      </c>
      <c r="B4" s="5">
        <v>2243596.2955000005</v>
      </c>
      <c r="C4" s="5">
        <v>589523.23550000018</v>
      </c>
      <c r="D4" s="6">
        <v>0.26275816049545625</v>
      </c>
    </row>
    <row r="5" spans="1:4">
      <c r="A5" s="4" t="s">
        <v>38</v>
      </c>
      <c r="B5" s="5">
        <v>2193912.3898</v>
      </c>
      <c r="C5" s="5">
        <v>673467.20980000007</v>
      </c>
      <c r="D5" s="6">
        <v>0.30697087674562712</v>
      </c>
    </row>
    <row r="6" spans="1:4">
      <c r="A6" s="4" t="s">
        <v>25</v>
      </c>
      <c r="B6" s="5">
        <v>2156617.2257999997</v>
      </c>
      <c r="C6" s="5">
        <v>633774.42579999985</v>
      </c>
      <c r="D6" s="6">
        <v>0.29387432234985533</v>
      </c>
    </row>
    <row r="7" spans="1:4">
      <c r="A7" s="4" t="s">
        <v>63</v>
      </c>
      <c r="B7" s="5">
        <v>2116551.5261999997</v>
      </c>
      <c r="C7" s="5">
        <v>600346.86620000005</v>
      </c>
      <c r="D7" s="6">
        <v>0.28364387012011316</v>
      </c>
    </row>
    <row r="8" spans="1:4">
      <c r="A8" s="4" t="s">
        <v>2805</v>
      </c>
      <c r="B8" s="5">
        <v>8710677.4373000003</v>
      </c>
      <c r="C8" s="5">
        <v>2497111.7373000002</v>
      </c>
      <c r="D8" s="6">
        <v>0.28667250684856171</v>
      </c>
    </row>
    <row r="9" spans="1:4">
      <c r="B9"/>
      <c r="C9"/>
      <c r="D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F806A-BBE1-4F32-B840-D5068520D430}">
  <dimension ref="A3:C20"/>
  <sheetViews>
    <sheetView workbookViewId="0">
      <selection activeCell="L26" sqref="L26"/>
    </sheetView>
  </sheetViews>
  <sheetFormatPr defaultRowHeight="13.8"/>
  <cols>
    <col min="1" max="1" width="16" bestFit="1" customWidth="1"/>
    <col min="2" max="3" width="11.3984375" bestFit="1" customWidth="1"/>
    <col min="4" max="4" width="13" bestFit="1" customWidth="1"/>
  </cols>
  <sheetData>
    <row r="3" spans="1:3">
      <c r="A3" s="3" t="s">
        <v>2810</v>
      </c>
      <c r="B3" t="s">
        <v>2811</v>
      </c>
      <c r="C3" t="s">
        <v>2812</v>
      </c>
    </row>
    <row r="4" spans="1:3">
      <c r="A4" s="4" t="s">
        <v>41</v>
      </c>
      <c r="B4" s="5">
        <v>3117597.6918000001</v>
      </c>
      <c r="C4" s="5">
        <v>910445.65179999988</v>
      </c>
    </row>
    <row r="5" spans="1:3">
      <c r="A5" s="7" t="s">
        <v>158</v>
      </c>
      <c r="B5" s="5">
        <v>674054.86400000018</v>
      </c>
      <c r="C5" s="5">
        <v>186706.91400000002</v>
      </c>
    </row>
    <row r="6" spans="1:3">
      <c r="A6" s="7" t="s">
        <v>66</v>
      </c>
      <c r="B6" s="5">
        <v>978726.42820000008</v>
      </c>
      <c r="C6" s="5">
        <v>289299.69819999998</v>
      </c>
    </row>
    <row r="7" spans="1:3">
      <c r="A7" s="7" t="s">
        <v>57</v>
      </c>
      <c r="B7" s="5">
        <v>784515.89809999999</v>
      </c>
      <c r="C7" s="5">
        <v>224275.32809999998</v>
      </c>
    </row>
    <row r="8" spans="1:3">
      <c r="A8" s="7" t="s">
        <v>42</v>
      </c>
      <c r="B8" s="5">
        <v>680300.50150000001</v>
      </c>
      <c r="C8" s="5">
        <v>210163.71150000003</v>
      </c>
    </row>
    <row r="9" spans="1:3">
      <c r="A9" s="4" t="s">
        <v>74</v>
      </c>
      <c r="B9" s="5">
        <v>3111049.5140999998</v>
      </c>
      <c r="C9" s="5">
        <v>888818.05410000007</v>
      </c>
    </row>
    <row r="10" spans="1:3">
      <c r="A10" s="7" t="s">
        <v>75</v>
      </c>
      <c r="B10" s="5">
        <v>814006.58799999987</v>
      </c>
      <c r="C10" s="5">
        <v>240329.00800000003</v>
      </c>
    </row>
    <row r="11" spans="1:3">
      <c r="A11" s="7" t="s">
        <v>80</v>
      </c>
      <c r="B11" s="5">
        <v>894239.8983</v>
      </c>
      <c r="C11" s="5">
        <v>262837.56830000004</v>
      </c>
    </row>
    <row r="12" spans="1:3">
      <c r="A12" s="7" t="s">
        <v>274</v>
      </c>
      <c r="B12" s="5">
        <v>630398.47399999993</v>
      </c>
      <c r="C12" s="5">
        <v>180872.59400000001</v>
      </c>
    </row>
    <row r="13" spans="1:3">
      <c r="A13" s="7" t="s">
        <v>171</v>
      </c>
      <c r="B13" s="5">
        <v>772404.55379999988</v>
      </c>
      <c r="C13" s="5">
        <v>204778.88379999998</v>
      </c>
    </row>
    <row r="14" spans="1:3">
      <c r="A14" s="4" t="s">
        <v>28</v>
      </c>
      <c r="B14" s="5">
        <v>2779775.6386000002</v>
      </c>
      <c r="C14" s="5">
        <v>800602.28859999985</v>
      </c>
    </row>
    <row r="15" spans="1:3">
      <c r="A15" s="7" t="s">
        <v>48</v>
      </c>
      <c r="B15" s="5">
        <v>574781.87799999991</v>
      </c>
      <c r="C15" s="5">
        <v>159295.96799999994</v>
      </c>
    </row>
    <row r="16" spans="1:3">
      <c r="A16" s="7" t="s">
        <v>153</v>
      </c>
      <c r="B16" s="5">
        <v>557129.1041</v>
      </c>
      <c r="C16" s="5">
        <v>168301.87409999996</v>
      </c>
    </row>
    <row r="17" spans="1:3">
      <c r="A17" s="7" t="s">
        <v>91</v>
      </c>
      <c r="B17" s="5">
        <v>348071.6118999999</v>
      </c>
      <c r="C17" s="5">
        <v>112674.03189999997</v>
      </c>
    </row>
    <row r="18" spans="1:3">
      <c r="A18" s="7" t="s">
        <v>29</v>
      </c>
      <c r="B18" s="5">
        <v>619469.64280000003</v>
      </c>
      <c r="C18" s="5">
        <v>179549.00279999999</v>
      </c>
    </row>
    <row r="19" spans="1:3">
      <c r="A19" s="7" t="s">
        <v>124</v>
      </c>
      <c r="B19" s="5">
        <v>680323.40179999988</v>
      </c>
      <c r="C19" s="5">
        <v>180781.41179999997</v>
      </c>
    </row>
    <row r="20" spans="1:3">
      <c r="A20" s="4" t="s">
        <v>2805</v>
      </c>
      <c r="B20" s="5">
        <v>9008422.8444999997</v>
      </c>
      <c r="C20" s="5">
        <v>2599865.9944999996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B42E7-89A4-40AC-AEF7-8D6220BC9101}">
  <dimension ref="A3:B9"/>
  <sheetViews>
    <sheetView workbookViewId="0">
      <selection activeCell="L26" sqref="L26"/>
    </sheetView>
  </sheetViews>
  <sheetFormatPr defaultRowHeight="13.8"/>
  <cols>
    <col min="1" max="1" width="13.296875" bestFit="1" customWidth="1"/>
    <col min="2" max="2" width="11.59765625" bestFit="1" customWidth="1"/>
  </cols>
  <sheetData>
    <row r="3" spans="1:2">
      <c r="A3" s="3" t="s">
        <v>2815</v>
      </c>
      <c r="B3" t="s">
        <v>2814</v>
      </c>
    </row>
    <row r="4" spans="1:2">
      <c r="A4" s="4" t="s">
        <v>59</v>
      </c>
      <c r="B4">
        <v>242</v>
      </c>
    </row>
    <row r="5" spans="1:2">
      <c r="A5" s="4" t="s">
        <v>50</v>
      </c>
      <c r="B5">
        <v>223</v>
      </c>
    </row>
    <row r="6" spans="1:2">
      <c r="A6" s="4" t="s">
        <v>31</v>
      </c>
      <c r="B6">
        <v>222</v>
      </c>
    </row>
    <row r="7" spans="1:2">
      <c r="A7" s="4" t="s">
        <v>44</v>
      </c>
      <c r="B7">
        <v>204</v>
      </c>
    </row>
    <row r="8" spans="1:2">
      <c r="A8" s="4" t="s">
        <v>2791</v>
      </c>
      <c r="B8">
        <v>21</v>
      </c>
    </row>
    <row r="9" spans="1:2">
      <c r="A9" s="4" t="s">
        <v>2805</v>
      </c>
      <c r="B9">
        <v>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EE240-FEBE-4DF4-9760-C6C3EBA4B932}">
  <dimension ref="A3:D8"/>
  <sheetViews>
    <sheetView workbookViewId="0">
      <selection activeCell="L26" sqref="L26"/>
    </sheetView>
  </sheetViews>
  <sheetFormatPr defaultRowHeight="13.8"/>
  <cols>
    <col min="1" max="1" width="13.19921875" bestFit="1" customWidth="1"/>
    <col min="2" max="3" width="11.3984375" bestFit="1" customWidth="1"/>
    <col min="4" max="4" width="15.19921875" customWidth="1"/>
  </cols>
  <sheetData>
    <row r="3" spans="1:4">
      <c r="A3" s="3" t="s">
        <v>2816</v>
      </c>
      <c r="B3" t="s">
        <v>2812</v>
      </c>
      <c r="C3" t="s">
        <v>2811</v>
      </c>
      <c r="D3" t="s">
        <v>2817</v>
      </c>
    </row>
    <row r="4" spans="1:4">
      <c r="A4" s="4" t="s">
        <v>24</v>
      </c>
      <c r="B4" s="5">
        <v>607739.04859999975</v>
      </c>
      <c r="C4" s="5">
        <v>2203890.878599999</v>
      </c>
      <c r="D4" s="6">
        <f>GETPIVOTDATA("Total profit",$A$3,"segment","Consumer")/GETPIVOTDATA("Total sales",$A$3,"segment","Consumer")</f>
        <v>0.27575732287891691</v>
      </c>
    </row>
    <row r="5" spans="1:4">
      <c r="A5" s="4" t="s">
        <v>90</v>
      </c>
      <c r="B5" s="5">
        <v>607720.13569999975</v>
      </c>
      <c r="C5" s="5">
        <v>2055411.6456999993</v>
      </c>
      <c r="D5" s="6">
        <f>GETPIVOTDATA("Total profit",$A$3,"segment","Corporate")/GETPIVOTDATA("Total sales",$A$3,"segment","Corporate")</f>
        <v>0.29566833338293758</v>
      </c>
    </row>
    <row r="6" spans="1:4">
      <c r="A6" s="4" t="s">
        <v>95</v>
      </c>
      <c r="B6" s="5">
        <v>684003.37610000023</v>
      </c>
      <c r="C6" s="5">
        <v>2331911.2061000005</v>
      </c>
      <c r="D6" s="6">
        <f>GETPIVOTDATA("Total profit",$A$3,"segment","Home Office")/GETPIVOTDATA("Total sales",$A$3,"segment","Home Office")</f>
        <v>0.29332307950265402</v>
      </c>
    </row>
    <row r="7" spans="1:4">
      <c r="A7" s="4" t="s">
        <v>37</v>
      </c>
      <c r="B7" s="5">
        <v>700403.43410000007</v>
      </c>
      <c r="C7" s="5">
        <v>2417209.1141000018</v>
      </c>
      <c r="D7" s="6">
        <f>GETPIVOTDATA("Total profit",$A$3,"segment","Small Business")/GETPIVOTDATA("Total sales",$A$3,"segment","Small Business")</f>
        <v>0.28975707149804492</v>
      </c>
    </row>
    <row r="8" spans="1:4">
      <c r="A8" s="4" t="s">
        <v>2805</v>
      </c>
      <c r="B8" s="5">
        <v>2599865.9944999996</v>
      </c>
      <c r="C8" s="5">
        <v>9008422.8444999997</v>
      </c>
      <c r="D8" s="6">
        <f>GETPIVOTDATA("Total profit",$A$3)/GETPIVOTDATA("Total sales",$A$3)</f>
        <v>0.28860390318903839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AC0F-13AC-4E16-AE99-2C7A5F2022EC}">
  <dimension ref="A3:E10"/>
  <sheetViews>
    <sheetView tabSelected="1" workbookViewId="0">
      <selection activeCell="J12" sqref="J12"/>
    </sheetView>
  </sheetViews>
  <sheetFormatPr defaultRowHeight="13.8"/>
  <cols>
    <col min="1" max="1" width="16.19921875" bestFit="1" customWidth="1"/>
    <col min="2" max="2" width="16.09765625" bestFit="1" customWidth="1"/>
    <col min="3" max="3" width="9" bestFit="1" customWidth="1"/>
    <col min="4" max="4" width="11" bestFit="1" customWidth="1"/>
    <col min="5" max="5" width="14.296875" bestFit="1" customWidth="1"/>
  </cols>
  <sheetData>
    <row r="3" spans="1:5">
      <c r="A3" s="3" t="s">
        <v>2813</v>
      </c>
      <c r="B3" s="3" t="s">
        <v>2818</v>
      </c>
    </row>
    <row r="4" spans="1:5">
      <c r="A4" s="3" t="s">
        <v>2808</v>
      </c>
      <c r="B4" t="s">
        <v>68</v>
      </c>
      <c r="C4" t="s">
        <v>103</v>
      </c>
      <c r="D4" t="s">
        <v>2805</v>
      </c>
      <c r="E4" t="s">
        <v>2819</v>
      </c>
    </row>
    <row r="5" spans="1:5">
      <c r="A5" s="4" t="s">
        <v>38</v>
      </c>
      <c r="B5">
        <v>30</v>
      </c>
      <c r="C5">
        <v>45</v>
      </c>
      <c r="D5">
        <v>75</v>
      </c>
      <c r="E5">
        <v>13</v>
      </c>
    </row>
    <row r="6" spans="1:5">
      <c r="A6" s="4" t="s">
        <v>25</v>
      </c>
      <c r="B6">
        <v>48</v>
      </c>
      <c r="C6">
        <v>37</v>
      </c>
      <c r="D6">
        <v>85</v>
      </c>
      <c r="E6">
        <v>20</v>
      </c>
    </row>
    <row r="7" spans="1:5">
      <c r="A7" s="4" t="s">
        <v>54</v>
      </c>
      <c r="B7">
        <v>35</v>
      </c>
      <c r="C7">
        <v>37</v>
      </c>
      <c r="D7">
        <v>72</v>
      </c>
      <c r="E7">
        <v>20</v>
      </c>
    </row>
    <row r="8" spans="1:5">
      <c r="A8" s="4" t="s">
        <v>2791</v>
      </c>
      <c r="B8">
        <v>2</v>
      </c>
      <c r="C8">
        <v>4</v>
      </c>
      <c r="D8">
        <v>6</v>
      </c>
      <c r="E8">
        <v>2</v>
      </c>
    </row>
    <row r="9" spans="1:5">
      <c r="A9" s="4" t="s">
        <v>63</v>
      </c>
      <c r="B9">
        <v>30</v>
      </c>
      <c r="C9">
        <v>40</v>
      </c>
      <c r="D9">
        <v>70</v>
      </c>
      <c r="E9">
        <v>14</v>
      </c>
    </row>
    <row r="10" spans="1:5">
      <c r="A10" s="4" t="s">
        <v>2805</v>
      </c>
      <c r="B10">
        <v>145</v>
      </c>
      <c r="C10">
        <v>163</v>
      </c>
      <c r="D10">
        <v>308</v>
      </c>
      <c r="E10">
        <v>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DC9CC-28C7-4768-9CD8-73F2CFFCD121}">
  <dimension ref="A3:D17"/>
  <sheetViews>
    <sheetView workbookViewId="0">
      <selection activeCell="L26" sqref="L26"/>
    </sheetView>
  </sheetViews>
  <sheetFormatPr defaultRowHeight="13.8"/>
  <cols>
    <col min="1" max="1" width="22.3984375" bestFit="1" customWidth="1"/>
    <col min="2" max="2" width="16.09765625" bestFit="1" customWidth="1"/>
    <col min="3" max="4" width="11.8984375" bestFit="1" customWidth="1"/>
  </cols>
  <sheetData>
    <row r="3" spans="1:4">
      <c r="A3" s="3" t="s">
        <v>2811</v>
      </c>
      <c r="B3" s="3" t="s">
        <v>2832</v>
      </c>
    </row>
    <row r="4" spans="1:4">
      <c r="A4" s="3" t="s">
        <v>2833</v>
      </c>
      <c r="B4">
        <v>2024</v>
      </c>
      <c r="C4">
        <v>2025</v>
      </c>
      <c r="D4" t="s">
        <v>2805</v>
      </c>
    </row>
    <row r="5" spans="1:4">
      <c r="A5" s="4" t="s">
        <v>2820</v>
      </c>
      <c r="B5" s="5">
        <v>346225.85529999994</v>
      </c>
      <c r="C5" s="5">
        <v>408895.67329999979</v>
      </c>
      <c r="D5" s="5">
        <v>755121.52859999973</v>
      </c>
    </row>
    <row r="6" spans="1:4">
      <c r="A6" s="4" t="s">
        <v>2821</v>
      </c>
      <c r="B6" s="5">
        <v>456102.38949999999</v>
      </c>
      <c r="C6" s="5">
        <v>561374.88150000002</v>
      </c>
      <c r="D6" s="5">
        <v>1017477.2709999999</v>
      </c>
    </row>
    <row r="7" spans="1:4">
      <c r="A7" s="4" t="s">
        <v>2822</v>
      </c>
      <c r="B7" s="5">
        <v>397872.44199999998</v>
      </c>
      <c r="C7" s="5">
        <v>413911.7944999999</v>
      </c>
      <c r="D7" s="5">
        <v>811784.23649999988</v>
      </c>
    </row>
    <row r="8" spans="1:4">
      <c r="A8" s="4" t="s">
        <v>2823</v>
      </c>
      <c r="B8" s="5">
        <v>394957.54250000004</v>
      </c>
      <c r="C8" s="5">
        <v>460200.45880000002</v>
      </c>
      <c r="D8" s="5">
        <v>855158.00130000012</v>
      </c>
    </row>
    <row r="9" spans="1:4">
      <c r="A9" s="4" t="s">
        <v>2824</v>
      </c>
      <c r="B9" s="5">
        <v>458263.22829999996</v>
      </c>
      <c r="C9" s="5">
        <v>329634.58200000005</v>
      </c>
      <c r="D9" s="5">
        <v>787897.81030000001</v>
      </c>
    </row>
    <row r="10" spans="1:4">
      <c r="A10" s="4" t="s">
        <v>2825</v>
      </c>
      <c r="B10" s="5">
        <v>492667.92249999993</v>
      </c>
      <c r="C10" s="5">
        <v>369376.755</v>
      </c>
      <c r="D10" s="5">
        <v>862044.67749999999</v>
      </c>
    </row>
    <row r="11" spans="1:4">
      <c r="A11" s="4" t="s">
        <v>2826</v>
      </c>
      <c r="B11" s="5">
        <v>421320.18530000001</v>
      </c>
      <c r="C11" s="5">
        <v>424959.94220000005</v>
      </c>
      <c r="D11" s="5">
        <v>846280.12750000006</v>
      </c>
    </row>
    <row r="12" spans="1:4">
      <c r="A12" s="4" t="s">
        <v>2827</v>
      </c>
      <c r="B12" s="5">
        <v>326571.84450000001</v>
      </c>
      <c r="C12" s="5">
        <v>563185.02</v>
      </c>
      <c r="D12" s="5">
        <v>889756.86450000003</v>
      </c>
    </row>
    <row r="13" spans="1:4">
      <c r="A13" s="4" t="s">
        <v>2828</v>
      </c>
      <c r="B13" s="5">
        <v>402451.14079999994</v>
      </c>
      <c r="C13" s="5">
        <v>444193.56549999991</v>
      </c>
      <c r="D13" s="5">
        <v>846644.70629999985</v>
      </c>
    </row>
    <row r="14" spans="1:4">
      <c r="A14" s="4" t="s">
        <v>2829</v>
      </c>
      <c r="B14" s="5">
        <v>468039.397</v>
      </c>
      <c r="C14" s="5">
        <v>237412.15800000002</v>
      </c>
      <c r="D14" s="5">
        <v>705451.55500000005</v>
      </c>
    </row>
    <row r="15" spans="1:4">
      <c r="A15" s="4" t="s">
        <v>2830</v>
      </c>
      <c r="B15" s="5">
        <v>339977.22720000002</v>
      </c>
      <c r="C15" s="5"/>
      <c r="D15" s="5">
        <v>339977.22720000002</v>
      </c>
    </row>
    <row r="16" spans="1:4">
      <c r="A16" s="4" t="s">
        <v>2831</v>
      </c>
      <c r="B16" s="5">
        <v>290828.83880000003</v>
      </c>
      <c r="C16" s="5"/>
      <c r="D16" s="5">
        <v>290828.83880000003</v>
      </c>
    </row>
    <row r="17" spans="1:4">
      <c r="A17" s="4" t="s">
        <v>2805</v>
      </c>
      <c r="B17" s="5">
        <v>4795278.0136999991</v>
      </c>
      <c r="C17" s="5">
        <v>4213144.8307999996</v>
      </c>
      <c r="D17" s="5">
        <v>9008422.8444999997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2762</v>
      </c>
      <c r="B1" s="1" t="s">
        <v>2763</v>
      </c>
    </row>
    <row r="2" spans="1:2" ht="41.4">
      <c r="A2" s="2" t="s">
        <v>2764</v>
      </c>
      <c r="B2" s="2" t="s">
        <v>2765</v>
      </c>
    </row>
    <row r="3" spans="1:2" ht="27.6">
      <c r="A3" s="2" t="s">
        <v>2766</v>
      </c>
      <c r="B3" s="2" t="s">
        <v>2767</v>
      </c>
    </row>
    <row r="4" spans="1:2" ht="27.6">
      <c r="A4" s="2" t="s">
        <v>2768</v>
      </c>
      <c r="B4" s="2" t="s">
        <v>2767</v>
      </c>
    </row>
    <row r="5" spans="1:2" ht="27.6">
      <c r="A5" s="2" t="s">
        <v>2769</v>
      </c>
      <c r="B5" s="2" t="s">
        <v>2770</v>
      </c>
    </row>
    <row r="6" spans="1:2" ht="41.4">
      <c r="A6" s="2" t="s">
        <v>2771</v>
      </c>
      <c r="B6" s="2" t="s">
        <v>2772</v>
      </c>
    </row>
    <row r="7" spans="1:2" ht="55.2">
      <c r="A7" s="2" t="s">
        <v>2773</v>
      </c>
      <c r="B7" s="2" t="s">
        <v>2774</v>
      </c>
    </row>
    <row r="8" spans="1:2" ht="27.6">
      <c r="A8" s="2" t="s">
        <v>2775</v>
      </c>
      <c r="B8" s="2" t="s">
        <v>2776</v>
      </c>
    </row>
    <row r="9" spans="1:2" ht="41.4">
      <c r="A9" s="2" t="s">
        <v>2777</v>
      </c>
      <c r="B9" s="2" t="s">
        <v>2778</v>
      </c>
    </row>
    <row r="10" spans="1:2" ht="69">
      <c r="A10" s="2" t="s">
        <v>2779</v>
      </c>
      <c r="B10" s="2" t="s">
        <v>2780</v>
      </c>
    </row>
    <row r="11" spans="1:2" ht="41.4">
      <c r="A11" s="2" t="s">
        <v>2781</v>
      </c>
      <c r="B11" s="2" t="s">
        <v>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cleaned_orders</vt:lpstr>
      <vt:lpstr>Sales by Region</vt:lpstr>
      <vt:lpstr>Sales by Category</vt:lpstr>
      <vt:lpstr>Orders by Ship Mode</vt:lpstr>
      <vt:lpstr>Profit by Segment</vt:lpstr>
      <vt:lpstr>Cancelled-Returned-Failed</vt:lpstr>
      <vt:lpstr>Monthly Sales Trend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Radha Manasa</dc:creator>
  <cp:lastModifiedBy>Radha Manasa</cp:lastModifiedBy>
  <dcterms:created xsi:type="dcterms:W3CDTF">2026-06-21T09:13:17Z</dcterms:created>
  <dcterms:modified xsi:type="dcterms:W3CDTF">2026-06-28T08:57:42Z</dcterms:modified>
</cp:coreProperties>
</file>